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38400" windowHeight="19840" tabRatio="600" firstSheet="0" activeTab="1" autoFilterDateGrouping="1"/>
  </bookViews>
  <sheets>
    <sheet name="Findings &amp; Recommendations" sheetId="1" state="visible" r:id="rId1"/>
    <sheet name="Epic Breakdown" sheetId="2" state="visible" r:id="rId2"/>
    <sheet name="Inconsistencies" sheetId="3" state="visible" r:id="rId3"/>
  </sheets>
  <definedNames/>
  <calcPr calcId="0" fullCalcOnLoad="1"/>
</workbook>
</file>

<file path=xl/styles.xml><?xml version="1.0" encoding="utf-8"?>
<styleSheet xmlns="http://schemas.openxmlformats.org/spreadsheetml/2006/main">
  <numFmts count="0"/>
  <fonts count="37">
    <font>
      <name val="Calibri"/>
      <family val="2"/>
      <color theme="1"/>
      <sz val="11"/>
      <scheme val="minor"/>
    </font>
    <font>
      <name val="Calibri"/>
      <family val="2"/>
      <b val="1"/>
      <color rgb="FFFFFFFF"/>
      <sz val="16"/>
    </font>
    <font>
      <name val="Calibri"/>
      <family val="2"/>
      <i val="1"/>
      <color rgb="FFAAAAAA"/>
      <sz val="9"/>
    </font>
    <font>
      <name val="Calibri"/>
      <family val="2"/>
      <b val="1"/>
      <color rgb="FFFFFFFF"/>
      <sz val="13"/>
    </font>
    <font>
      <name val="Calibri"/>
      <family val="2"/>
      <b val="1"/>
      <color rgb="FFFFFFFF"/>
      <sz val="10"/>
    </font>
    <font>
      <name val="Calibri"/>
      <family val="2"/>
      <color rgb="FFFFFFFF"/>
      <sz val="10"/>
    </font>
    <font>
      <name val="Calibri"/>
      <family val="2"/>
      <b val="1"/>
      <color rgb="FF000000"/>
      <sz val="10"/>
    </font>
    <font>
      <name val="Calibri"/>
      <family val="2"/>
      <color rgb="FF000000"/>
      <sz val="10"/>
    </font>
    <font>
      <name val="Calibri"/>
      <family val="2"/>
      <b val="1"/>
      <color rgb="FFFFFFFF"/>
      <sz val="9"/>
    </font>
    <font>
      <name val="Calibri"/>
      <family val="2"/>
      <color rgb="FF000000"/>
      <sz val="9"/>
    </font>
    <font>
      <name val="Calibri"/>
      <family val="2"/>
      <b val="1"/>
      <color rgb="FFFFFFFF"/>
      <sz val="15"/>
    </font>
    <font>
      <name val="Calibri"/>
      <family val="2"/>
      <b val="1"/>
      <color rgb="FF1A1A2E"/>
      <sz val="9"/>
    </font>
    <font>
      <name val="Calibri"/>
      <family val="2"/>
      <color rgb="FF0563C1"/>
      <sz val="9"/>
      <u val="single"/>
    </font>
    <font>
      <name val="Calibri"/>
      <family val="2"/>
      <color rgb="FF444444"/>
      <sz val="9"/>
    </font>
    <font>
      <name val="Calibri"/>
      <family val="2"/>
      <color rgb="FF1A1A2E"/>
      <sz val="9"/>
    </font>
    <font>
      <name val="Calibri"/>
      <family val="2"/>
      <color rgb="FF145A32"/>
      <sz val="9"/>
    </font>
    <font>
      <name val="Calibri"/>
      <family val="2"/>
      <color rgb="FF4A235A"/>
      <sz val="9"/>
    </font>
    <font>
      <name val="Calibri"/>
      <b val="1"/>
      <color rgb="00FFFFFF"/>
      <sz val="9"/>
    </font>
    <font>
      <name val="Calibri"/>
      <color rgb="001A1A2E"/>
      <sz val="9"/>
    </font>
    <font>
      <name val="Calibri"/>
      <color rgb="00145A32"/>
      <sz val="9"/>
    </font>
    <font>
      <name val="Calibri"/>
      <color rgb="004A235A"/>
      <sz val="9"/>
    </font>
    <font>
      <name val="Calibri"/>
      <b val="1"/>
      <color rgb="00FFFFFF"/>
      <sz val="10"/>
    </font>
    <font>
      <name val="Calibri"/>
      <color rgb="00FFFFFF"/>
      <sz val="10"/>
    </font>
    <font/>
    <font>
      <name val="Calibri"/>
      <b val="1"/>
      <color rgb="FFFFFFFF"/>
      <sz val="10"/>
    </font>
    <font>
      <name val="Calibri"/>
      <b val="1"/>
      <color rgb="FFFFFFFF"/>
      <sz val="13"/>
    </font>
    <font>
      <name val="Calibri"/>
      <color rgb="FFFFFFFF"/>
      <sz val="10"/>
    </font>
    <font>
      <b val="1"/>
      <color rgb="00C0392B"/>
      <sz val="10"/>
    </font>
    <font>
      <b val="1"/>
      <color rgb="00FFFFFF"/>
      <sz val="11"/>
    </font>
    <font>
      <b val="1"/>
      <color rgb="00FFFFFF"/>
      <sz val="10"/>
    </font>
    <font>
      <b val="1"/>
      <sz val="10"/>
    </font>
    <font>
      <b val="1"/>
      <color rgb="00FFFFFF"/>
      <sz val="14"/>
    </font>
    <font>
      <i val="1"/>
      <color rgb="00AAAAAA"/>
      <sz val="9"/>
    </font>
    <font>
      <b val="1"/>
      <color rgb="00FFFFFF"/>
      <sz val="12"/>
    </font>
    <font>
      <b val="1"/>
      <color rgb="00000000"/>
    </font>
    <font>
      <b val="1"/>
      <color rgb="009C5700"/>
    </font>
    <font>
      <b val="1"/>
      <color rgb="00276221"/>
    </font>
  </fonts>
  <fills count="57">
    <fill>
      <patternFill/>
    </fill>
    <fill>
      <patternFill patternType="gray125"/>
    </fill>
    <fill>
      <patternFill patternType="solid">
        <fgColor rgb="FF1A1A2E"/>
      </patternFill>
    </fill>
    <fill>
      <patternFill patternType="solid">
        <fgColor rgb="FF0D0D1A"/>
      </patternFill>
    </fill>
    <fill>
      <patternFill patternType="solid">
        <fgColor rgb="FF0F3460"/>
      </patternFill>
    </fill>
    <fill>
      <patternFill patternType="solid">
        <fgColor rgb="FFE74C3C"/>
      </patternFill>
    </fill>
    <fill>
      <patternFill patternType="solid">
        <fgColor rgb="FF922B21"/>
      </patternFill>
    </fill>
    <fill>
      <patternFill patternType="solid">
        <fgColor rgb="FFF39C12"/>
      </patternFill>
    </fill>
    <fill>
      <patternFill patternType="solid">
        <fgColor rgb="FF27AE60"/>
      </patternFill>
    </fill>
    <fill>
      <patternFill patternType="solid">
        <fgColor rgb="FFE67E22"/>
      </patternFill>
    </fill>
    <fill>
      <patternFill patternType="solid">
        <fgColor rgb="FF2ECC71"/>
      </patternFill>
    </fill>
    <fill>
      <patternFill patternType="solid">
        <fgColor rgb="FF95A5A6"/>
      </patternFill>
    </fill>
    <fill>
      <patternFill patternType="solid">
        <fgColor rgb="FFC0392B"/>
      </patternFill>
    </fill>
    <fill>
      <patternFill patternType="solid">
        <fgColor rgb="FFFFFFFF"/>
      </patternFill>
    </fill>
    <fill>
      <patternFill patternType="solid">
        <fgColor rgb="FF1A5276"/>
      </patternFill>
    </fill>
    <fill>
      <patternFill patternType="solid">
        <fgColor rgb="FFFAFAFA"/>
      </patternFill>
    </fill>
    <fill>
      <patternFill patternType="solid">
        <fgColor rgb="FFF8F9FA"/>
      </patternFill>
    </fill>
    <fill>
      <patternFill patternType="solid">
        <fgColor rgb="FFF0FFF4"/>
      </patternFill>
    </fill>
    <fill>
      <patternFill patternType="solid">
        <fgColor rgb="FFFFF8E7"/>
      </patternFill>
    </fill>
    <fill>
      <patternFill patternType="solid">
        <fgColor rgb="FFF1C40F"/>
      </patternFill>
    </fill>
    <fill>
      <patternFill patternType="solid">
        <fgColor rgb="FF1E8449"/>
      </patternFill>
    </fill>
    <fill>
      <patternFill patternType="solid">
        <fgColor rgb="FF6C3483"/>
      </patternFill>
    </fill>
    <fill>
      <patternFill patternType="solid">
        <fgColor rgb="FF2C3E50"/>
      </patternFill>
    </fill>
    <fill>
      <patternFill patternType="solid">
        <fgColor rgb="00E67E22"/>
      </patternFill>
    </fill>
    <fill>
      <patternFill patternType="solid">
        <fgColor rgb="00E74C3C"/>
      </patternFill>
    </fill>
    <fill>
      <patternFill patternType="solid">
        <fgColor rgb="00F8F9FA"/>
      </patternFill>
    </fill>
    <fill>
      <patternFill patternType="solid">
        <fgColor rgb="00F0FFF4"/>
      </patternFill>
    </fill>
    <fill>
      <patternFill patternType="solid">
        <fgColor rgb="00FFF8E7"/>
      </patternFill>
    </fill>
    <fill>
      <patternFill patternType="solid">
        <fgColor rgb="00FFE0B2"/>
      </patternFill>
    </fill>
    <fill>
      <patternFill patternType="solid">
        <fgColor rgb="00FFF2CC"/>
      </patternFill>
    </fill>
    <fill>
      <patternFill patternType="solid">
        <fgColor rgb="00EBF5FB"/>
        <bgColor rgb="00EBF5FB"/>
      </patternFill>
    </fill>
    <fill>
      <patternFill patternType="solid">
        <fgColor rgb="00F4F6F7"/>
        <bgColor rgb="00F4F6F7"/>
      </patternFill>
    </fill>
    <fill>
      <patternFill patternType="solid">
        <fgColor rgb="00FDEBD0"/>
        <bgColor rgb="00FDEBD0"/>
      </patternFill>
    </fill>
    <fill>
      <patternFill patternType="solid">
        <fgColor rgb="00D5F5E3"/>
        <bgColor rgb="00D5F5E3"/>
      </patternFill>
    </fill>
    <fill>
      <patternFill patternType="solid">
        <fgColor rgb="00FEF9E7"/>
        <bgColor rgb="00FEF9E7"/>
      </patternFill>
    </fill>
    <fill>
      <patternFill patternType="solid">
        <fgColor rgb="00F8F9FA"/>
        <bgColor rgb="00F8F9FA"/>
      </patternFill>
    </fill>
    <fill>
      <patternFill patternType="solid">
        <fgColor rgb="00EAFAF1"/>
        <bgColor rgb="00EAFAF1"/>
      </patternFill>
    </fill>
    <fill>
      <patternFill patternType="solid">
        <fgColor rgb="002980B9"/>
        <bgColor rgb="002980B9"/>
      </patternFill>
    </fill>
    <fill>
      <patternFill patternType="solid">
        <fgColor rgb="001A5276"/>
        <bgColor rgb="001A5276"/>
      </patternFill>
    </fill>
    <fill>
      <patternFill patternType="solid">
        <fgColor rgb="00E8F4F8"/>
        <bgColor rgb="00E8F4F8"/>
      </patternFill>
    </fill>
    <fill>
      <patternFill patternType="solid">
        <fgColor rgb="00F0FFF4"/>
        <bgColor rgb="00F0FFF4"/>
      </patternFill>
    </fill>
    <fill>
      <patternFill patternType="solid">
        <fgColor rgb="00FFF8E7"/>
        <bgColor rgb="00FFF8E7"/>
      </patternFill>
    </fill>
    <fill>
      <patternFill patternType="solid">
        <fgColor rgb="00FADBD8"/>
        <bgColor rgb="00FADBD8"/>
      </patternFill>
    </fill>
    <fill>
      <patternFill patternType="solid">
        <fgColor rgb="000D2137"/>
        <bgColor rgb="000D2137"/>
      </patternFill>
    </fill>
    <fill>
      <patternFill patternType="solid">
        <fgColor rgb="001A2E40"/>
        <bgColor rgb="001A2E40"/>
      </patternFill>
    </fill>
    <fill>
      <patternFill patternType="solid">
        <fgColor rgb="002C3E50"/>
        <bgColor rgb="002C3E50"/>
      </patternFill>
    </fill>
    <fill>
      <patternFill patternType="solid">
        <fgColor rgb="00E67E22"/>
        <bgColor rgb="00E67E22"/>
      </patternFill>
    </fill>
    <fill>
      <patternFill patternType="solid">
        <fgColor rgb="00FEF5E7"/>
        <bgColor rgb="00FEF5E7"/>
      </patternFill>
    </fill>
    <fill>
      <patternFill patternType="solid">
        <fgColor rgb="008E44AD"/>
        <bgColor rgb="008E44AD"/>
      </patternFill>
    </fill>
    <fill>
      <patternFill patternType="solid">
        <fgColor rgb="00F3E5F5"/>
        <bgColor rgb="00F3E5F5"/>
      </patternFill>
    </fill>
    <fill>
      <patternFill patternType="solid">
        <fgColor rgb="0027AE60"/>
        <bgColor rgb="0027AE60"/>
      </patternFill>
    </fill>
    <fill>
      <patternFill patternType="solid">
        <fgColor rgb="00E8F8F5"/>
        <bgColor rgb="00E8F8F5"/>
      </patternFill>
    </fill>
    <fill>
      <patternFill patternType="solid">
        <fgColor rgb="0000B050"/>
      </patternFill>
    </fill>
    <fill>
      <patternFill patternType="solid">
        <fgColor rgb="00F4F5F7"/>
      </patternFill>
    </fill>
    <fill>
      <patternFill patternType="solid">
        <fgColor rgb="00E3FCEF"/>
      </patternFill>
    </fill>
    <fill>
      <patternFill patternType="solid">
        <fgColor rgb="00FFEB9C"/>
        <bgColor rgb="00FFEB9C"/>
      </patternFill>
    </fill>
    <fill>
      <patternFill patternType="solid">
        <fgColor rgb="00C6EFCE"/>
        <bgColor rgb="00C6EFCE"/>
      </patternFill>
    </fill>
  </fills>
  <borders count="11">
    <border>
      <left/>
      <right/>
      <top/>
      <bottom/>
      <diagonal/>
    </border>
    <border>
      <left style="thin">
        <color rgb="FFDDDDDD"/>
      </left>
      <right style="thin">
        <color rgb="FFDDDDDD"/>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right style="thin">
        <color rgb="FFDDDDDD"/>
      </right>
      <top style="thin">
        <color rgb="FFDDDDDD"/>
      </top>
      <bottom/>
      <diagonal/>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s>
  <cellStyleXfs count="1">
    <xf numFmtId="0" fontId="0" fillId="0" borderId="0"/>
  </cellStyleXfs>
  <cellXfs count="169">
    <xf numFmtId="0" fontId="0" fillId="0" borderId="0" pivotButton="0" quotePrefix="0" xfId="0"/>
    <xf numFmtId="0" fontId="4" fillId="4" borderId="1" applyAlignment="1" pivotButton="0" quotePrefix="0" xfId="0">
      <alignment horizontal="center" vertical="top" wrapText="1"/>
    </xf>
    <xf numFmtId="0" fontId="4" fillId="5" borderId="1" applyAlignment="1" pivotButton="0" quotePrefix="0" xfId="0">
      <alignment horizontal="left" vertical="top" wrapText="1"/>
    </xf>
    <xf numFmtId="0" fontId="5" fillId="5"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center" vertical="top" wrapText="1"/>
    </xf>
    <xf numFmtId="0" fontId="4" fillId="7" borderId="1" applyAlignment="1" pivotButton="0" quotePrefix="0" xfId="0">
      <alignment horizontal="left" vertical="top" wrapText="1"/>
    </xf>
    <xf numFmtId="0" fontId="5" fillId="7" borderId="1" applyAlignment="1" pivotButton="0" quotePrefix="0" xfId="0">
      <alignment horizontal="center" vertical="top" wrapText="1"/>
    </xf>
    <xf numFmtId="0" fontId="4" fillId="8" borderId="1" applyAlignment="1" pivotButton="0" quotePrefix="0" xfId="0">
      <alignment horizontal="left" vertical="top" wrapText="1"/>
    </xf>
    <xf numFmtId="0" fontId="5" fillId="8" borderId="1" applyAlignment="1" pivotButton="0" quotePrefix="0" xfId="0">
      <alignment horizontal="center" vertical="top" wrapText="1"/>
    </xf>
    <xf numFmtId="0" fontId="4" fillId="9" borderId="1" applyAlignment="1" pivotButton="0" quotePrefix="0" xfId="0">
      <alignment horizontal="left" vertical="top" wrapText="1"/>
    </xf>
    <xf numFmtId="0" fontId="5" fillId="9" borderId="1" applyAlignment="1" pivotButton="0" quotePrefix="0" xfId="0">
      <alignment horizontal="center" vertical="top" wrapText="1"/>
    </xf>
    <xf numFmtId="0" fontId="6" fillId="10" borderId="1" applyAlignment="1" pivotButton="0" quotePrefix="0" xfId="0">
      <alignment horizontal="left" vertical="top" wrapText="1"/>
    </xf>
    <xf numFmtId="0" fontId="7" fillId="10" borderId="1" applyAlignment="1" pivotButton="0" quotePrefix="0" xfId="0">
      <alignment horizontal="center" vertical="top" wrapText="1"/>
    </xf>
    <xf numFmtId="0" fontId="4" fillId="11" borderId="1" applyAlignment="1" pivotButton="0" quotePrefix="0" xfId="0">
      <alignment horizontal="left" vertical="top" wrapText="1"/>
    </xf>
    <xf numFmtId="0" fontId="5" fillId="11" borderId="1" applyAlignment="1" pivotButton="0" quotePrefix="0" xfId="0">
      <alignment horizontal="center" vertical="top" wrapText="1"/>
    </xf>
    <xf numFmtId="0" fontId="9" fillId="13" borderId="1" applyAlignment="1" pivotButton="0" quotePrefix="0" xfId="0">
      <alignment horizontal="left" vertical="top" wrapText="1"/>
    </xf>
    <xf numFmtId="0" fontId="4" fillId="2" borderId="1" applyAlignment="1" pivotButton="0" quotePrefix="0" xfId="0">
      <alignment horizontal="center" vertical="top" wrapText="1"/>
    </xf>
    <xf numFmtId="0" fontId="8" fillId="14" borderId="1" applyAlignment="1" pivotButton="0" quotePrefix="0" xfId="0">
      <alignment horizontal="left" vertical="top" wrapText="1"/>
    </xf>
    <xf numFmtId="0" fontId="8" fillId="14" borderId="1" applyAlignment="1" pivotButton="0" quotePrefix="0" xfId="0">
      <alignment horizontal="center" vertical="top" wrapText="1"/>
    </xf>
    <xf numFmtId="0" fontId="11" fillId="15" borderId="1" applyAlignment="1" pivotButton="0" quotePrefix="0" xfId="0">
      <alignment horizontal="center" vertical="top" wrapText="1"/>
    </xf>
    <xf numFmtId="0" fontId="12" fillId="15" borderId="1" applyAlignment="1" pivotButton="0" quotePrefix="0" xfId="0">
      <alignment horizontal="center" vertical="top" wrapText="1"/>
    </xf>
    <xf numFmtId="0" fontId="9" fillId="15" borderId="1" applyAlignment="1" pivotButton="0" quotePrefix="0" xfId="0">
      <alignment horizontal="left" vertical="top" wrapText="1"/>
    </xf>
    <xf numFmtId="0" fontId="13" fillId="15" borderId="1" applyAlignment="1" pivotButton="0" quotePrefix="0" xfId="0">
      <alignment horizontal="center" vertical="top" wrapText="1"/>
    </xf>
    <xf numFmtId="0" fontId="8" fillId="8" borderId="1" applyAlignment="1" pivotButton="0" quotePrefix="0" xfId="0">
      <alignment horizontal="center" vertical="top" wrapText="1"/>
    </xf>
    <xf numFmtId="0" fontId="8" fillId="5" borderId="1" applyAlignment="1" pivotButton="0" quotePrefix="0" xfId="0">
      <alignment horizontal="center" vertical="top" wrapText="1"/>
    </xf>
    <xf numFmtId="0" fontId="14" fillId="16" borderId="1" applyAlignment="1" pivotButton="0" quotePrefix="0" xfId="0">
      <alignment horizontal="left" vertical="top" wrapText="1"/>
    </xf>
    <xf numFmtId="0" fontId="15" fillId="17" borderId="1" applyAlignment="1" pivotButton="0" quotePrefix="0" xfId="0">
      <alignment horizontal="left" vertical="top" wrapText="1"/>
    </xf>
    <xf numFmtId="0" fontId="16" fillId="18" borderId="1" applyAlignment="1" pivotButton="0" quotePrefix="0" xfId="0">
      <alignment horizontal="left" vertical="top" wrapText="1"/>
    </xf>
    <xf numFmtId="0" fontId="11" fillId="13" borderId="1" applyAlignment="1" pivotButton="0" quotePrefix="0" xfId="0">
      <alignment horizontal="center" vertical="top" wrapText="1"/>
    </xf>
    <xf numFmtId="0" fontId="12" fillId="13" borderId="1" applyAlignment="1" pivotButton="0" quotePrefix="0" xfId="0">
      <alignment horizontal="center" vertical="top" wrapText="1"/>
    </xf>
    <xf numFmtId="0" fontId="13" fillId="13" borderId="1" applyAlignment="1" pivotButton="0" quotePrefix="0" xfId="0">
      <alignment horizontal="center" vertical="top" wrapText="1"/>
    </xf>
    <xf numFmtId="0" fontId="8" fillId="9" borderId="1" applyAlignment="1" pivotButton="0" quotePrefix="0" xfId="0">
      <alignment horizontal="center" vertical="top" wrapText="1"/>
    </xf>
    <xf numFmtId="0" fontId="8" fillId="6" borderId="1" applyAlignment="1" pivotButton="0" quotePrefix="0" xfId="0">
      <alignment horizontal="center" vertical="top" wrapText="1"/>
    </xf>
    <xf numFmtId="0" fontId="8" fillId="19" borderId="1" applyAlignment="1" pivotButton="0" quotePrefix="0" xfId="0">
      <alignment horizontal="center" vertical="top" wrapText="1"/>
    </xf>
    <xf numFmtId="0" fontId="8" fillId="20" borderId="1" applyAlignment="1" pivotButton="0" quotePrefix="0" xfId="0">
      <alignment horizontal="left" vertical="top" wrapText="1"/>
    </xf>
    <xf numFmtId="0" fontId="8" fillId="20" borderId="1" applyAlignment="1" pivotButton="0" quotePrefix="0" xfId="0">
      <alignment horizontal="center" vertical="top" wrapText="1"/>
    </xf>
    <xf numFmtId="0" fontId="8" fillId="12" borderId="1" applyAlignment="1" pivotButton="0" quotePrefix="0" xfId="0">
      <alignment horizontal="center" vertical="top" wrapText="1"/>
    </xf>
    <xf numFmtId="0" fontId="8" fillId="7" borderId="1" applyAlignment="1" pivotButton="0" quotePrefix="0" xfId="0">
      <alignment horizontal="center" vertical="top" wrapText="1"/>
    </xf>
    <xf numFmtId="0" fontId="8" fillId="10" borderId="1" applyAlignment="1" pivotButton="0" quotePrefix="0" xfId="0">
      <alignment horizontal="center" vertical="top" wrapText="1"/>
    </xf>
    <xf numFmtId="0" fontId="8" fillId="21" borderId="1" applyAlignment="1" pivotButton="0" quotePrefix="0" xfId="0">
      <alignment horizontal="left" vertical="top" wrapText="1"/>
    </xf>
    <xf numFmtId="0" fontId="8" fillId="21" borderId="1" applyAlignment="1" pivotButton="0" quotePrefix="0" xfId="0">
      <alignment horizontal="center" vertical="top" wrapText="1"/>
    </xf>
    <xf numFmtId="0" fontId="8" fillId="22" borderId="1" applyAlignment="1" pivotButton="0" quotePrefix="0" xfId="0">
      <alignment horizontal="left" vertical="top" wrapText="1"/>
    </xf>
    <xf numFmtId="0" fontId="8" fillId="22" borderId="1" applyAlignment="1" pivotButton="0" quotePrefix="0" xfId="0">
      <alignment horizontal="center" vertical="top" wrapText="1"/>
    </xf>
    <xf numFmtId="0" fontId="0" fillId="0" borderId="0" pivotButton="0" quotePrefix="0" xfId="0"/>
    <xf numFmtId="0" fontId="5" fillId="8" borderId="1" applyAlignment="1" pivotButton="0" quotePrefix="0" xfId="0">
      <alignment horizontal="left" vertical="top" wrapText="1"/>
    </xf>
    <xf numFmtId="0" fontId="0" fillId="0" borderId="2" pivotButton="0" quotePrefix="0" xfId="0"/>
    <xf numFmtId="0" fontId="0" fillId="0" borderId="3" pivotButton="0" quotePrefix="0" xfId="0"/>
    <xf numFmtId="0" fontId="5" fillId="7" borderId="1" applyAlignment="1" pivotButton="0" quotePrefix="0" xfId="0">
      <alignment horizontal="left" vertical="top" wrapText="1"/>
    </xf>
    <xf numFmtId="0" fontId="1" fillId="2" borderId="0" applyAlignment="1" pivotButton="0" quotePrefix="0" xfId="0">
      <alignment horizontal="center" vertical="center"/>
    </xf>
    <xf numFmtId="0" fontId="7" fillId="10" borderId="1" applyAlignment="1" pivotButton="0" quotePrefix="0" xfId="0">
      <alignment horizontal="left" vertical="top" wrapText="1"/>
    </xf>
    <xf numFmtId="0" fontId="5" fillId="9"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11" borderId="1" applyAlignment="1" pivotButton="0" quotePrefix="0" xfId="0">
      <alignment horizontal="left" vertical="top" wrapText="1"/>
    </xf>
    <xf numFmtId="0" fontId="2" fillId="3" borderId="0" applyAlignment="1" pivotButton="0" quotePrefix="0" xfId="0">
      <alignment horizontal="center" vertical="center"/>
    </xf>
    <xf numFmtId="0" fontId="3" fillId="2" borderId="0" applyAlignment="1" pivotButton="0" quotePrefix="0" xfId="0">
      <alignment horizontal="left" vertical="center" indent="1"/>
    </xf>
    <xf numFmtId="0" fontId="10" fillId="2" borderId="0" applyAlignment="1" pivotButton="0" quotePrefix="0" xfId="0">
      <alignment horizontal="center" vertical="center"/>
    </xf>
    <xf numFmtId="0" fontId="17" fillId="23" borderId="6" applyAlignment="1" pivotButton="0" quotePrefix="0" xfId="0">
      <alignment horizontal="center" vertical="top" wrapText="1"/>
    </xf>
    <xf numFmtId="0" fontId="17" fillId="24" borderId="6" applyAlignment="1" pivotButton="0" quotePrefix="0" xfId="0">
      <alignment horizontal="center" vertical="top" wrapText="1"/>
    </xf>
    <xf numFmtId="0" fontId="18" fillId="25" borderId="6" applyAlignment="1" pivotButton="0" quotePrefix="0" xfId="0">
      <alignment horizontal="left" vertical="top" wrapText="1"/>
    </xf>
    <xf numFmtId="0" fontId="19" fillId="26" borderId="6" applyAlignment="1" pivotButton="0" quotePrefix="0" xfId="0">
      <alignment horizontal="left" vertical="top" wrapText="1"/>
    </xf>
    <xf numFmtId="0" fontId="20" fillId="27" borderId="6" applyAlignment="1" pivotButton="0" quotePrefix="0" xfId="0">
      <alignment horizontal="left" vertical="top" wrapText="1"/>
    </xf>
    <xf numFmtId="0" fontId="21" fillId="24" borderId="6" applyAlignment="1" pivotButton="0" quotePrefix="0" xfId="0">
      <alignment horizontal="left" vertical="top" wrapText="1"/>
    </xf>
    <xf numFmtId="0" fontId="21" fillId="24" borderId="6" applyAlignment="1" pivotButton="0" quotePrefix="0" xfId="0">
      <alignment horizontal="center" vertical="top" wrapText="1"/>
    </xf>
    <xf numFmtId="0" fontId="22" fillId="24" borderId="6" applyAlignment="1" pivotButton="0" quotePrefix="0" xfId="0">
      <alignment horizontal="left" vertical="top" wrapText="1"/>
    </xf>
    <xf numFmtId="0" fontId="0" fillId="0" borderId="9" pivotButton="0" quotePrefix="0" xfId="0"/>
    <xf numFmtId="0" fontId="0" fillId="0" borderId="10" pivotButton="0" quotePrefix="0" xfId="0"/>
    <xf numFmtId="0" fontId="17" fillId="28" borderId="6" applyAlignment="1" pivotButton="0" quotePrefix="0" xfId="0">
      <alignment vertical="top" wrapText="1"/>
    </xf>
    <xf numFmtId="0" fontId="17" fillId="29" borderId="6" applyAlignment="1" pivotButton="0" quotePrefix="0" xfId="0">
      <alignment vertical="top" wrapText="1"/>
    </xf>
    <xf numFmtId="0" fontId="18" fillId="25" borderId="6" applyAlignment="1" pivotButton="0" quotePrefix="0" xfId="0">
      <alignment vertical="top" wrapText="1"/>
    </xf>
    <xf numFmtId="0" fontId="19" fillId="26" borderId="6" applyAlignment="1" pivotButton="0" quotePrefix="0" xfId="0">
      <alignment vertical="top" wrapText="1"/>
    </xf>
    <xf numFmtId="0" fontId="20" fillId="27" borderId="6" applyAlignment="1" pivotButton="0" quotePrefix="0" xfId="0">
      <alignment vertical="top" wrapText="1"/>
    </xf>
    <xf numFmtId="0" fontId="22" fillId="29" borderId="6" applyAlignment="1" pivotButton="0" quotePrefix="0" xfId="0">
      <alignment vertical="top" wrapText="1"/>
    </xf>
    <xf numFmtId="0" fontId="21" fillId="29" borderId="6" applyAlignment="1" pivotButton="0" quotePrefix="0" xfId="0">
      <alignment vertical="top" wrapText="1"/>
    </xf>
    <xf numFmtId="0" fontId="18" fillId="29" borderId="6" applyAlignment="1" pivotButton="0" quotePrefix="0" xfId="0">
      <alignment vertical="top" wrapText="1"/>
    </xf>
    <xf numFmtId="0" fontId="24" fillId="10" borderId="6" applyAlignment="1" pivotButton="0" quotePrefix="0" xfId="0">
      <alignment vertical="top" wrapText="1"/>
    </xf>
    <xf numFmtId="0" fontId="25" fillId="8" borderId="6" applyAlignment="1" pivotButton="0" quotePrefix="0" xfId="0">
      <alignment horizontal="center" vertical="center"/>
    </xf>
    <xf numFmtId="0" fontId="26" fillId="10" borderId="6" applyAlignment="1" pivotButton="0" quotePrefix="0" xfId="0">
      <alignment vertical="top" wrapText="1"/>
    </xf>
    <xf numFmtId="0" fontId="24" fillId="9" borderId="1" applyAlignment="1" pivotButton="0" quotePrefix="0" xfId="0">
      <alignment vertical="top" wrapText="1"/>
    </xf>
    <xf numFmtId="0" fontId="25" fillId="9" borderId="1" applyAlignment="1" pivotButton="0" quotePrefix="0" xfId="0">
      <alignment horizontal="center" vertical="center"/>
    </xf>
    <xf numFmtId="0" fontId="26" fillId="9" borderId="1" applyAlignment="1" pivotButton="0" quotePrefix="0" xfId="0">
      <alignment vertical="top" wrapText="1"/>
    </xf>
    <xf numFmtId="0" fontId="24" fillId="5" borderId="1" applyAlignment="1" pivotButton="0" quotePrefix="0" xfId="0">
      <alignment vertical="top" wrapText="1"/>
    </xf>
    <xf numFmtId="0" fontId="25" fillId="5" borderId="1" applyAlignment="1" pivotButton="0" quotePrefix="0" xfId="0">
      <alignment horizontal="center" vertical="center"/>
    </xf>
    <xf numFmtId="0" fontId="26" fillId="5" borderId="1" applyAlignment="1" pivotButton="0" quotePrefix="0" xfId="0">
      <alignment vertical="top" wrapText="1"/>
    </xf>
    <xf numFmtId="0" fontId="24" fillId="7" borderId="1" applyAlignment="1" pivotButton="0" quotePrefix="0" xfId="0">
      <alignment vertical="top" wrapText="1"/>
    </xf>
    <xf numFmtId="0" fontId="25" fillId="7" borderId="1" applyAlignment="1" pivotButton="0" quotePrefix="0" xfId="0">
      <alignment horizontal="center" vertical="center"/>
    </xf>
    <xf numFmtId="0" fontId="26" fillId="7" borderId="1" applyAlignment="1" pivotButton="0" quotePrefix="0" xfId="0">
      <alignment vertical="top" wrapText="1"/>
    </xf>
    <xf numFmtId="0" fontId="24" fillId="8" borderId="1" applyAlignment="1" pivotButton="0" quotePrefix="0" xfId="0">
      <alignment vertical="top" wrapText="1"/>
    </xf>
    <xf numFmtId="0" fontId="25" fillId="8" borderId="1" applyAlignment="1" pivotButton="0" quotePrefix="0" xfId="0">
      <alignment horizontal="center" vertical="center"/>
    </xf>
    <xf numFmtId="0" fontId="26" fillId="8" borderId="1" applyAlignment="1" pivotButton="0" quotePrefix="0" xfId="0">
      <alignment vertical="top" wrapText="1"/>
    </xf>
    <xf numFmtId="0" fontId="24" fillId="6" borderId="1" applyAlignment="1" pivotButton="0" quotePrefix="0" xfId="0">
      <alignment vertical="top" wrapText="1"/>
    </xf>
    <xf numFmtId="0" fontId="25" fillId="6" borderId="1" applyAlignment="1" pivotButton="0" quotePrefix="0" xfId="0">
      <alignment horizontal="center" vertical="center"/>
    </xf>
    <xf numFmtId="0" fontId="26" fillId="6" borderId="1" applyAlignment="1" pivotButton="0" quotePrefix="0" xfId="0">
      <alignment vertical="top" wrapText="1"/>
    </xf>
    <xf numFmtId="0" fontId="24" fillId="4" borderId="1" applyAlignment="1" pivotButton="0" quotePrefix="0" xfId="0">
      <alignment vertical="top" wrapText="1"/>
    </xf>
    <xf numFmtId="0" fontId="25" fillId="4" borderId="1" applyAlignment="1" pivotButton="0" quotePrefix="0" xfId="0">
      <alignment horizontal="center" vertical="center"/>
    </xf>
    <xf numFmtId="0" fontId="26" fillId="4" borderId="1" applyAlignment="1" pivotButton="0" quotePrefix="0" xfId="0">
      <alignment vertical="top" wrapText="1"/>
    </xf>
    <xf numFmtId="0" fontId="23" fillId="0" borderId="1" pivotButton="0" quotePrefix="0" xfId="0"/>
    <xf numFmtId="0" fontId="23" fillId="0" borderId="0" pivotButton="0" quotePrefix="0" xfId="0"/>
    <xf numFmtId="0" fontId="14" fillId="16" borderId="1" applyAlignment="1" pivotButton="0" quotePrefix="0" xfId="0">
      <alignment vertical="top" wrapText="1"/>
    </xf>
    <xf numFmtId="0" fontId="13" fillId="30" borderId="1" applyAlignment="1" pivotButton="0" quotePrefix="0" xfId="0">
      <alignment vertical="top" wrapText="1"/>
    </xf>
    <xf numFmtId="0" fontId="13" fillId="15" borderId="1" applyAlignment="1" pivotButton="0" quotePrefix="0" xfId="0">
      <alignment vertical="top" wrapText="1"/>
    </xf>
    <xf numFmtId="0" fontId="13" fillId="13" borderId="1" applyAlignment="1" pivotButton="0" quotePrefix="0" xfId="0">
      <alignment vertical="top" wrapText="1"/>
    </xf>
    <xf numFmtId="0" fontId="13" fillId="31" borderId="1" applyAlignment="1" pivotButton="0" quotePrefix="0" xfId="0">
      <alignment vertical="top" wrapText="1"/>
    </xf>
    <xf numFmtId="0" fontId="27" fillId="32" borderId="1" applyAlignment="1" pivotButton="0" quotePrefix="0" xfId="0">
      <alignment vertical="top" wrapText="1"/>
    </xf>
    <xf numFmtId="0" fontId="9" fillId="15" borderId="1" applyAlignment="1" pivotButton="0" quotePrefix="0" xfId="0">
      <alignment vertical="top" wrapText="1"/>
    </xf>
    <xf numFmtId="0" fontId="9" fillId="13" borderId="1" applyAlignment="1" pivotButton="0" quotePrefix="0" xfId="0">
      <alignment vertical="top" wrapText="1"/>
    </xf>
    <xf numFmtId="0" fontId="13" fillId="33" borderId="1" applyAlignment="1" pivotButton="0" quotePrefix="0" xfId="0">
      <alignment vertical="top" wrapText="1"/>
    </xf>
    <xf numFmtId="0" fontId="13" fillId="34" borderId="1" applyAlignment="1" pivotButton="0" quotePrefix="0" xfId="0">
      <alignment vertical="top" wrapText="1"/>
    </xf>
    <xf numFmtId="0" fontId="13" fillId="35" borderId="1" applyAlignment="1" pivotButton="0" quotePrefix="0" xfId="0">
      <alignment vertical="top" wrapText="1"/>
    </xf>
    <xf numFmtId="0" fontId="8" fillId="36" borderId="1" applyAlignment="1" pivotButton="0" quotePrefix="0" xfId="0">
      <alignment vertical="top" wrapText="1"/>
    </xf>
    <xf numFmtId="0" fontId="13" fillId="36" borderId="1" applyAlignment="1" pivotButton="0" quotePrefix="0" xfId="0">
      <alignment vertical="top" wrapText="1"/>
    </xf>
    <xf numFmtId="0" fontId="28" fillId="37" borderId="0" applyAlignment="1" pivotButton="0" quotePrefix="0" xfId="0">
      <alignment horizontal="center" vertical="center" wrapText="1"/>
    </xf>
    <xf numFmtId="0" fontId="29" fillId="38" borderId="0" applyAlignment="1" pivotButton="0" quotePrefix="0" xfId="0">
      <alignment vertical="top" wrapText="1"/>
    </xf>
    <xf numFmtId="0" fontId="0" fillId="0" borderId="0" applyAlignment="1" pivotButton="0" quotePrefix="0" xfId="0">
      <alignment vertical="top" wrapText="1"/>
    </xf>
    <xf numFmtId="0" fontId="0" fillId="39" borderId="0" applyAlignment="1" pivotButton="0" quotePrefix="0" xfId="0">
      <alignment vertical="top" wrapText="1"/>
    </xf>
    <xf numFmtId="0" fontId="0" fillId="31" borderId="0" applyAlignment="1" pivotButton="0" quotePrefix="0" xfId="0">
      <alignment vertical="top" wrapText="1"/>
    </xf>
    <xf numFmtId="0" fontId="0" fillId="34" borderId="0" applyAlignment="1" pivotButton="0" quotePrefix="0" xfId="0">
      <alignment vertical="top" wrapText="1"/>
    </xf>
    <xf numFmtId="0" fontId="30" fillId="32" borderId="0" applyAlignment="1" pivotButton="0" quotePrefix="0" xfId="0">
      <alignment vertical="top" wrapText="1"/>
    </xf>
    <xf numFmtId="0" fontId="0" fillId="35" borderId="0" applyAlignment="1" pivotButton="0" quotePrefix="0" xfId="0">
      <alignment vertical="top" wrapText="1"/>
    </xf>
    <xf numFmtId="0" fontId="0" fillId="40" borderId="0" applyAlignment="1" pivotButton="0" quotePrefix="0" xfId="0">
      <alignment vertical="top" wrapText="1"/>
    </xf>
    <xf numFmtId="0" fontId="0" fillId="41" borderId="0" applyAlignment="1" pivotButton="0" quotePrefix="0" xfId="0">
      <alignment vertical="top" wrapText="1"/>
    </xf>
    <xf numFmtId="0" fontId="0" fillId="42" borderId="0" applyAlignment="1" pivotButton="0" quotePrefix="0" xfId="0">
      <alignment vertical="top" wrapText="1"/>
    </xf>
    <xf numFmtId="0" fontId="30" fillId="36" borderId="0" applyAlignment="1" pivotButton="0" quotePrefix="0" xfId="0">
      <alignment vertical="top" wrapText="1"/>
    </xf>
    <xf numFmtId="0" fontId="0" fillId="33" borderId="0" applyAlignment="1" pivotButton="0" quotePrefix="0" xfId="0">
      <alignment vertical="top" wrapText="1"/>
    </xf>
    <xf numFmtId="0" fontId="30" fillId="33" borderId="0" applyAlignment="1" pivotButton="0" quotePrefix="0" xfId="0">
      <alignment vertical="top" wrapText="1"/>
    </xf>
    <xf numFmtId="0" fontId="31" fillId="43" borderId="0" applyAlignment="1" pivotButton="0" quotePrefix="0" xfId="0">
      <alignment horizontal="center" vertical="center" wrapText="1"/>
    </xf>
    <xf numFmtId="0" fontId="32" fillId="44" borderId="0" applyAlignment="1" pivotButton="0" quotePrefix="0" xfId="0">
      <alignment horizontal="center" vertical="center" wrapText="1"/>
    </xf>
    <xf numFmtId="0" fontId="33" fillId="37" borderId="0" applyAlignment="1" pivotButton="0" quotePrefix="0" xfId="0">
      <alignment horizontal="center" vertical="center" wrapText="1"/>
    </xf>
    <xf numFmtId="0" fontId="29" fillId="45" borderId="0" applyAlignment="1" pivotButton="0" quotePrefix="0" xfId="0">
      <alignment horizontal="center" vertical="center" wrapText="1"/>
    </xf>
    <xf numFmtId="0" fontId="0" fillId="30" borderId="0" applyAlignment="1" pivotButton="0" quotePrefix="0" xfId="0">
      <alignment vertical="top" wrapText="1"/>
    </xf>
    <xf numFmtId="0" fontId="30" fillId="30" borderId="0" applyAlignment="1" pivotButton="0" quotePrefix="0" xfId="0">
      <alignment vertical="top" wrapText="1"/>
    </xf>
    <xf numFmtId="0" fontId="33" fillId="46" borderId="0" applyAlignment="1" pivotButton="0" quotePrefix="0" xfId="0">
      <alignment horizontal="center" vertical="center" wrapText="1"/>
    </xf>
    <xf numFmtId="0" fontId="0" fillId="47" borderId="0" applyAlignment="1" pivotButton="0" quotePrefix="0" xfId="0">
      <alignment vertical="top" wrapText="1"/>
    </xf>
    <xf numFmtId="0" fontId="30" fillId="47" borderId="0" applyAlignment="1" pivotButton="0" quotePrefix="0" xfId="0">
      <alignment vertical="top" wrapText="1"/>
    </xf>
    <xf numFmtId="0" fontId="27" fillId="47" borderId="0" applyAlignment="1" pivotButton="0" quotePrefix="0" xfId="0">
      <alignment vertical="top" wrapText="1"/>
    </xf>
    <xf numFmtId="0" fontId="33" fillId="48" borderId="0" applyAlignment="1" pivotButton="0" quotePrefix="0" xfId="0">
      <alignment horizontal="center" vertical="center" wrapText="1"/>
    </xf>
    <xf numFmtId="0" fontId="0" fillId="49" borderId="0" applyAlignment="1" pivotButton="0" quotePrefix="0" xfId="0">
      <alignment vertical="top" wrapText="1"/>
    </xf>
    <xf numFmtId="0" fontId="30" fillId="49" borderId="0" applyAlignment="1" pivotButton="0" quotePrefix="0" xfId="0">
      <alignment vertical="top" wrapText="1"/>
    </xf>
    <xf numFmtId="0" fontId="27" fillId="49" borderId="0" applyAlignment="1" pivotButton="0" quotePrefix="0" xfId="0">
      <alignment vertical="top" wrapText="1"/>
    </xf>
    <xf numFmtId="0" fontId="33" fillId="50" borderId="0" applyAlignment="1" pivotButton="0" quotePrefix="0" xfId="0">
      <alignment horizontal="center" vertical="center" wrapText="1"/>
    </xf>
    <xf numFmtId="0" fontId="0" fillId="51" borderId="0" applyAlignment="1" pivotButton="0" quotePrefix="0" xfId="0">
      <alignment vertical="top" wrapText="1"/>
    </xf>
    <xf numFmtId="0" fontId="30" fillId="51" borderId="0" applyAlignment="1" pivotButton="0" quotePrefix="0" xfId="0">
      <alignment vertical="top" wrapText="1"/>
    </xf>
    <xf numFmtId="0" fontId="27" fillId="51" borderId="0" applyAlignment="1" pivotButton="0" quotePrefix="0" xfId="0">
      <alignment vertical="top" wrapText="1"/>
    </xf>
    <xf numFmtId="0" fontId="0" fillId="29" borderId="0" applyAlignment="1" pivotButton="0" quotePrefix="0" xfId="0">
      <alignment vertical="top" wrapText="1"/>
    </xf>
    <xf numFmtId="0" fontId="34" fillId="52" borderId="0" applyAlignment="1" pivotButton="0" quotePrefix="0" xfId="0">
      <alignment vertical="top" wrapText="1"/>
    </xf>
    <xf numFmtId="0" fontId="0" fillId="53" borderId="0" pivotButton="0" quotePrefix="0" xfId="0"/>
    <xf numFmtId="0" fontId="8" fillId="54" borderId="1" applyAlignment="1" pivotButton="0" quotePrefix="0" xfId="0">
      <alignment horizontal="center" vertical="center" wrapText="1"/>
    </xf>
    <xf numFmtId="0" fontId="8" fillId="29" borderId="1" applyAlignment="1" pivotButton="0" quotePrefix="0" xfId="0">
      <alignment horizontal="center" vertical="center" wrapText="1"/>
    </xf>
    <xf numFmtId="0" fontId="17" fillId="29" borderId="6" applyAlignment="1" pivotButton="0" quotePrefix="0" xfId="0">
      <alignment horizontal="center" vertical="center" wrapText="1"/>
    </xf>
    <xf numFmtId="0" fontId="34" fillId="54" borderId="0" applyAlignment="1" pivotButton="0" quotePrefix="0" xfId="0">
      <alignment horizontal="center" vertical="center" wrapText="1"/>
    </xf>
    <xf numFmtId="0" fontId="30" fillId="54" borderId="0" applyAlignment="1" pivotButton="0" quotePrefix="0" xfId="0">
      <alignment horizontal="center" vertical="center" wrapText="1"/>
    </xf>
    <xf numFmtId="0" fontId="30" fillId="29" borderId="0" applyAlignment="1" pivotButton="0" quotePrefix="0" xfId="0">
      <alignment horizontal="center" vertical="center" wrapText="1"/>
    </xf>
    <xf numFmtId="0" fontId="0" fillId="54" borderId="0" applyAlignment="1" pivotButton="0" quotePrefix="0" xfId="0">
      <alignment horizontal="center" vertical="center" wrapText="1"/>
    </xf>
    <xf numFmtId="0" fontId="8" fillId="8" borderId="1" applyAlignment="1" pivotButton="0" quotePrefix="0" xfId="0">
      <alignment horizontal="center" vertical="center"/>
    </xf>
    <xf numFmtId="0" fontId="35" fillId="55" borderId="1" applyAlignment="1" pivotButton="0" quotePrefix="0" xfId="0">
      <alignment horizontal="center" vertical="center"/>
    </xf>
    <xf numFmtId="0" fontId="15" fillId="17" borderId="1" applyAlignment="1" pivotButton="0" quotePrefix="0" xfId="0">
      <alignment vertical="top" wrapText="1"/>
    </xf>
    <xf numFmtId="0" fontId="16" fillId="18" borderId="1" applyAlignment="1" pivotButton="0" quotePrefix="0" xfId="0">
      <alignment vertical="top" wrapText="1"/>
    </xf>
    <xf numFmtId="0" fontId="8" fillId="5" borderId="1" applyAlignment="1" pivotButton="0" quotePrefix="0" xfId="0">
      <alignment horizontal="center" vertical="center"/>
    </xf>
    <xf numFmtId="0" fontId="8" fillId="19" borderId="1" applyAlignment="1" pivotButton="0" quotePrefix="0" xfId="0">
      <alignment horizontal="center" vertical="center"/>
    </xf>
    <xf numFmtId="0" fontId="17" fillId="28" borderId="6" applyAlignment="1" pivotButton="0" quotePrefix="0" xfId="0">
      <alignment horizontal="center" vertical="center"/>
    </xf>
    <xf numFmtId="0" fontId="35" fillId="55" borderId="6" applyAlignment="1" pivotButton="0" quotePrefix="0" xfId="0">
      <alignment horizontal="center" vertical="center"/>
    </xf>
    <xf numFmtId="0" fontId="8" fillId="9" borderId="1" applyAlignment="1" pivotButton="0" quotePrefix="0" xfId="0">
      <alignment horizontal="center" vertical="center"/>
    </xf>
    <xf numFmtId="0" fontId="36" fillId="56" borderId="1" applyAlignment="1" pivotButton="0" quotePrefix="0" xfId="0">
      <alignment horizontal="center" vertical="center"/>
    </xf>
    <xf numFmtId="0" fontId="0" fillId="0" borderId="0" applyAlignment="1" pivotButton="0" quotePrefix="0" xfId="0">
      <alignment horizontal="center" vertical="center"/>
    </xf>
    <xf numFmtId="0" fontId="35" fillId="55" borderId="0" applyAlignment="1" pivotButton="0" quotePrefix="0" xfId="0">
      <alignment horizontal="center" vertical="center"/>
    </xf>
    <xf numFmtId="0" fontId="0" fillId="34" borderId="0" applyAlignment="1" pivotButton="0" quotePrefix="0" xfId="0">
      <alignment horizontal="center" vertical="center"/>
    </xf>
    <xf numFmtId="0" fontId="0" fillId="42" borderId="0" applyAlignment="1" pivotButton="0" quotePrefix="0" xfId="0">
      <alignment horizontal="center" vertical="center"/>
    </xf>
    <xf numFmtId="0" fontId="0" fillId="33"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abby.atlassian.net/browse/MFT-1671" TargetMode="External" Id="rId1" /><Relationship Type="http://schemas.openxmlformats.org/officeDocument/2006/relationships/hyperlink" Target="https://tabby.atlassian.net/browse/MFT-1673" TargetMode="External" Id="rId2" /><Relationship Type="http://schemas.openxmlformats.org/officeDocument/2006/relationships/hyperlink" Target="https://tabby.atlassian.net/browse/MFT-1674" TargetMode="External" Id="rId3" /><Relationship Type="http://schemas.openxmlformats.org/officeDocument/2006/relationships/hyperlink" Target="https://tabby.atlassian.net/browse/MFT-1675" TargetMode="External" Id="rId4" /><Relationship Type="http://schemas.openxmlformats.org/officeDocument/2006/relationships/hyperlink" Target="https://tabby.atlassian.net/browse/MFT-1812" TargetMode="External" Id="rId5" /><Relationship Type="http://schemas.openxmlformats.org/officeDocument/2006/relationships/hyperlink" Target="https://tabby.atlassian.net/browse/MFT-1815" TargetMode="External" Id="rId6" /><Relationship Type="http://schemas.openxmlformats.org/officeDocument/2006/relationships/hyperlink" Target="https://tabby.atlassian.net/browse/MFT-1809" TargetMode="External" Id="rId7" /><Relationship Type="http://schemas.openxmlformats.org/officeDocument/2006/relationships/hyperlink" Target="https://tabby.atlassian.net/browse/MFT-1748" TargetMode="External" Id="rId8" /><Relationship Type="http://schemas.openxmlformats.org/officeDocument/2006/relationships/hyperlink" Target="https://tabby.atlassian.net/browse/MFT-1752" TargetMode="External" Id="rId9" /><Relationship Type="http://schemas.openxmlformats.org/officeDocument/2006/relationships/hyperlink" Target="https://tabby.atlassian.net/browse/MFT-1753" TargetMode="External" Id="rId10" /><Relationship Type="http://schemas.openxmlformats.org/officeDocument/2006/relationships/hyperlink" Target="https://tabby.atlassian.net/browse/MFT-1754" TargetMode="External" Id="rId11" /><Relationship Type="http://schemas.openxmlformats.org/officeDocument/2006/relationships/hyperlink" Target="https://tabby.atlassian.net/browse/MFT-1756" TargetMode="External" Id="rId12" /><Relationship Type="http://schemas.openxmlformats.org/officeDocument/2006/relationships/hyperlink" Target="https://tabby.atlassian.net/browse/MFT-1757" TargetMode="External" Id="rId13" /><Relationship Type="http://schemas.openxmlformats.org/officeDocument/2006/relationships/hyperlink" Target="https://tabby.atlassian.net/browse/MFT-1758" TargetMode="External" Id="rId14" /><Relationship Type="http://schemas.openxmlformats.org/officeDocument/2006/relationships/hyperlink" Target="https://tabby.atlassian.net/browse/MFT-1759" TargetMode="External" Id="rId15" /><Relationship Type="http://schemas.openxmlformats.org/officeDocument/2006/relationships/hyperlink" Target="https://tabby.atlassian.net/browse/MFT-1760" TargetMode="External" Id="rId16" /><Relationship Type="http://schemas.openxmlformats.org/officeDocument/2006/relationships/hyperlink" Target="https://tabby.atlassian.net/browse/MFT-1761" TargetMode="External" Id="rId17" /><Relationship Type="http://schemas.openxmlformats.org/officeDocument/2006/relationships/hyperlink" Target="https://tabby.atlassian.net/browse/MFT-1762" TargetMode="External" Id="rId18" /><Relationship Type="http://schemas.openxmlformats.org/officeDocument/2006/relationships/hyperlink" Target="https://tabby.atlassian.net/browse/MFT-1763" TargetMode="External" Id="rId19" /><Relationship Type="http://schemas.openxmlformats.org/officeDocument/2006/relationships/hyperlink" Target="https://tabby.atlassian.net/browse/MFT-1764" TargetMode="External" Id="rId20" /><Relationship Type="http://schemas.openxmlformats.org/officeDocument/2006/relationships/hyperlink" Target="https://tabby.atlassian.net/browse/MFT-1765" TargetMode="External" Id="rId21" /><Relationship Type="http://schemas.openxmlformats.org/officeDocument/2006/relationships/hyperlink" Target="https://tabby.atlassian.net/browse/MFT-1766" TargetMode="External" Id="rId22" /><Relationship Type="http://schemas.openxmlformats.org/officeDocument/2006/relationships/hyperlink" Target="https://tabby.atlassian.net/browse/MFT-1767" TargetMode="External" Id="rId23" /><Relationship Type="http://schemas.openxmlformats.org/officeDocument/2006/relationships/hyperlink" Target="https://tabby.atlassian.net/browse/MFT-1768" TargetMode="External" Id="rId24" /><Relationship Type="http://schemas.openxmlformats.org/officeDocument/2006/relationships/hyperlink" Target="https://tabby.atlassian.net/browse/MFT-1769" TargetMode="External" Id="rId25" /><Relationship Type="http://schemas.openxmlformats.org/officeDocument/2006/relationships/hyperlink" Target="https://tabby.atlassian.net/browse/MFT-1770" TargetMode="External" Id="rId26" /><Relationship Type="http://schemas.openxmlformats.org/officeDocument/2006/relationships/hyperlink" Target="https://tabby.atlassian.net/browse/MFT-1771" TargetMode="External" Id="rId27" /><Relationship Type="http://schemas.openxmlformats.org/officeDocument/2006/relationships/hyperlink" Target="https://tabby.atlassian.net/browse/MFT-1772" TargetMode="External" Id="rId28" /><Relationship Type="http://schemas.openxmlformats.org/officeDocument/2006/relationships/hyperlink" Target="https://tabby.atlassian.net/browse/MFT-1773" TargetMode="External" Id="rId29" /><Relationship Type="http://schemas.openxmlformats.org/officeDocument/2006/relationships/hyperlink" Target="https://tabby.atlassian.net/browse/MFT-1774" TargetMode="External" Id="rId30" /><Relationship Type="http://schemas.openxmlformats.org/officeDocument/2006/relationships/hyperlink" Target="https://tabby.atlassian.net/browse/MFT-1775" TargetMode="External" Id="rId31" /><Relationship Type="http://schemas.openxmlformats.org/officeDocument/2006/relationships/hyperlink" Target="https://tabby.atlassian.net/browse/MFT-1776" TargetMode="External" Id="rId32" /><Relationship Type="http://schemas.openxmlformats.org/officeDocument/2006/relationships/hyperlink" Target="https://tabby.atlassian.net/browse/MFT-1777" TargetMode="External" Id="rId33" /><Relationship Type="http://schemas.openxmlformats.org/officeDocument/2006/relationships/hyperlink" Target="https://tabby.atlassian.net/browse/MFT-1778" TargetMode="External" Id="rId34" /><Relationship Type="http://schemas.openxmlformats.org/officeDocument/2006/relationships/hyperlink" Target="https://tabby.atlassian.net/browse/MFT-1779" TargetMode="External" Id="rId35" /><Relationship Type="http://schemas.openxmlformats.org/officeDocument/2006/relationships/hyperlink" Target="https://tabby.atlassian.net/browse/MFT-1780" TargetMode="External" Id="rId36" /><Relationship Type="http://schemas.openxmlformats.org/officeDocument/2006/relationships/hyperlink" Target="https://tabby.atlassian.net/browse/MFT-1781" TargetMode="External" Id="rId37" /><Relationship Type="http://schemas.openxmlformats.org/officeDocument/2006/relationships/hyperlink" Target="https://tabby.atlassian.net/browse/MFT-1782" TargetMode="External" Id="rId38" /><Relationship Type="http://schemas.openxmlformats.org/officeDocument/2006/relationships/hyperlink" Target="https://tabby.atlassian.net/browse/MFT-1783" TargetMode="External" Id="rId39" /><Relationship Type="http://schemas.openxmlformats.org/officeDocument/2006/relationships/hyperlink" Target="https://tabby.atlassian.net/browse/MFT-1784" TargetMode="External" Id="rId40" /><Relationship Type="http://schemas.openxmlformats.org/officeDocument/2006/relationships/hyperlink" Target="https://tabby.atlassian.net/browse/MFT-1690" TargetMode="External" Id="rId41" /><Relationship Type="http://schemas.openxmlformats.org/officeDocument/2006/relationships/hyperlink" Target="https://tabby.atlassian.net/browse/MFT-1698" TargetMode="External" Id="rId42" /><Relationship Type="http://schemas.openxmlformats.org/officeDocument/2006/relationships/hyperlink" Target="https://tabby.atlassian.net/browse/MFT-1801" TargetMode="External" Id="rId43" /><Relationship Type="http://schemas.openxmlformats.org/officeDocument/2006/relationships/hyperlink" Target="https://tabby.atlassian.net/browse/MFT-1718" TargetMode="External" Id="rId44" /><Relationship Type="http://schemas.openxmlformats.org/officeDocument/2006/relationships/hyperlink" Target="https://tabby.atlassian.net/browse/MFT-1694" TargetMode="External" Id="rId45" /><Relationship Type="http://schemas.openxmlformats.org/officeDocument/2006/relationships/hyperlink" Target="https://tabby.atlassian.net/browse/MFT-1691" TargetMode="External" Id="rId46" /><Relationship Type="http://schemas.openxmlformats.org/officeDocument/2006/relationships/hyperlink" Target="https://tabby.atlassian.net/browse/MFT-1693" TargetMode="External" Id="rId47" /><Relationship Type="http://schemas.openxmlformats.org/officeDocument/2006/relationships/hyperlink" Target="https://tabby.atlassian.net/browse/MFT-1696" TargetMode="External" Id="rId48" /><Relationship Type="http://schemas.openxmlformats.org/officeDocument/2006/relationships/hyperlink" Target="https://tabby.atlassian.net/browse/MFT-1697" TargetMode="External" Id="rId49" /><Relationship Type="http://schemas.openxmlformats.org/officeDocument/2006/relationships/hyperlink" Target="https://tabby.atlassian.net/browse/MFT-1703" TargetMode="External" Id="rId50" /><Relationship Type="http://schemas.openxmlformats.org/officeDocument/2006/relationships/hyperlink" Target="https://tabby.atlassian.net/browse/MFT-1838" TargetMode="External" Id="rId51" /><Relationship Type="http://schemas.openxmlformats.org/officeDocument/2006/relationships/hyperlink" Target="https://tabby.atlassian.net/browse/MFT-1795" TargetMode="External" Id="rId52" /><Relationship Type="http://schemas.openxmlformats.org/officeDocument/2006/relationships/hyperlink" Target="https://tabby.atlassian.net/browse/MFT-1796" TargetMode="External" Id="rId53" /><Relationship Type="http://schemas.openxmlformats.org/officeDocument/2006/relationships/hyperlink" Target="https://tabby.atlassian.net/browse/MFT-1797" TargetMode="External" Id="rId54" /><Relationship Type="http://schemas.openxmlformats.org/officeDocument/2006/relationships/hyperlink" Target="https://tabby.atlassian.net/browse/MFT-1798" TargetMode="External" Id="rId55" /><Relationship Type="http://schemas.openxmlformats.org/officeDocument/2006/relationships/hyperlink" Target="https://tabby.atlassian.net/browse/MFT-1816" TargetMode="External" Id="rId56" /><Relationship Type="http://schemas.openxmlformats.org/officeDocument/2006/relationships/hyperlink" Target="https://tabby.atlassian.net/browse/MFT-1817" TargetMode="External" Id="rId57" /><Relationship Type="http://schemas.openxmlformats.org/officeDocument/2006/relationships/hyperlink" Target="https://tabby.atlassian.net/browse/MFT-1818" TargetMode="External" Id="rId58" /><Relationship Type="http://schemas.openxmlformats.org/officeDocument/2006/relationships/hyperlink" Target="https://tabby.atlassian.net/browse/MFT-1819" TargetMode="External" Id="rId59" /><Relationship Type="http://schemas.openxmlformats.org/officeDocument/2006/relationships/hyperlink" Target="https://tabby.atlassian.net/browse/MFT-1820" TargetMode="External" Id="rId60" /><Relationship Type="http://schemas.openxmlformats.org/officeDocument/2006/relationships/hyperlink" Target="https://tabby.atlassian.net/browse/MFT-1811" TargetMode="External" Id="rId61" /><Relationship Type="http://schemas.openxmlformats.org/officeDocument/2006/relationships/hyperlink" Target="https://tabby.atlassian.net/browse/MFT-1813" TargetMode="External" Id="rId62" /><Relationship Type="http://schemas.openxmlformats.org/officeDocument/2006/relationships/hyperlink" Target="https://tabby.atlassian.net/browse/MFT-1814" TargetMode="External" Id="rId63" /><Relationship Type="http://schemas.openxmlformats.org/officeDocument/2006/relationships/hyperlink" Target="https://tabby.atlassian.net/browse/MFT-1876" TargetMode="External" Id="rId64" /><Relationship Type="http://schemas.openxmlformats.org/officeDocument/2006/relationships/hyperlink" Target="https://tabby.atlassian.net/browse/MFT-1877" TargetMode="External" Id="rId65" /><Relationship Type="http://schemas.openxmlformats.org/officeDocument/2006/relationships/hyperlink" Target="https://tabby.atlassian.net/browse/MFT-1676" TargetMode="External" Id="rId66" /><Relationship Type="http://schemas.openxmlformats.org/officeDocument/2006/relationships/hyperlink" Target="https://tabby.atlassian.net/browse/MFT-1688" TargetMode="External" Id="rId67" /><Relationship Type="http://schemas.openxmlformats.org/officeDocument/2006/relationships/hyperlink" Target="https://tabby.atlassian.net/browse/MFT-1716" TargetMode="External" Id="rId68" /><Relationship Type="http://schemas.openxmlformats.org/officeDocument/2006/relationships/hyperlink" Target="https://tabby.atlassian.net/browse/MFT-1717" TargetMode="External" Id="rId69" /><Relationship Type="http://schemas.openxmlformats.org/officeDocument/2006/relationships/hyperlink" Target="https://tabby.atlassian.net/browse/MFT-1738" TargetMode="External" Id="rId70" /><Relationship Type="http://schemas.openxmlformats.org/officeDocument/2006/relationships/hyperlink" Target="https://tabby.atlassian.net/browse/MFT-1739" TargetMode="External" Id="rId71" /><Relationship Type="http://schemas.openxmlformats.org/officeDocument/2006/relationships/hyperlink" Target="https://tabby.atlassian.net/browse/MFT-1740" TargetMode="External" Id="rId72" /><Relationship Type="http://schemas.openxmlformats.org/officeDocument/2006/relationships/hyperlink" Target="https://tabby.atlassian.net/browse/MFT-1741" TargetMode="External" Id="rId73" /><Relationship Type="http://schemas.openxmlformats.org/officeDocument/2006/relationships/hyperlink" Target="https://tabby.atlassian.net/browse/MFT-1742" TargetMode="External" Id="rId74" /><Relationship Type="http://schemas.openxmlformats.org/officeDocument/2006/relationships/hyperlink" Target="https://tabby.atlassian.net/browse/MFT-1749" TargetMode="External" Id="rId75" /><Relationship Type="http://schemas.openxmlformats.org/officeDocument/2006/relationships/hyperlink" Target="https://tabby.atlassian.net/browse/MFT-1750" TargetMode="External" Id="rId76" /><Relationship Type="http://schemas.openxmlformats.org/officeDocument/2006/relationships/hyperlink" Target="https://tabby.atlassian.net/browse/MFT-1751" TargetMode="External" Id="rId77" /><Relationship Type="http://schemas.openxmlformats.org/officeDocument/2006/relationships/hyperlink" Target="https://tabby.atlassian.net/browse/MFT-1789" TargetMode="External" Id="rId78" /><Relationship Type="http://schemas.openxmlformats.org/officeDocument/2006/relationships/hyperlink" Target="https://tabby.atlassian.net/browse/MFT-1790" TargetMode="External" Id="rId79" /><Relationship Type="http://schemas.openxmlformats.org/officeDocument/2006/relationships/hyperlink" Target="https://tabby.atlassian.net/browse/MFT-1791" TargetMode="External" Id="rId80" /><Relationship Type="http://schemas.openxmlformats.org/officeDocument/2006/relationships/hyperlink" Target="https://tabby.atlassian.net/browse/MFT-1792" TargetMode="External" Id="rId81" /><Relationship Type="http://schemas.openxmlformats.org/officeDocument/2006/relationships/hyperlink" Target="https://tabby.atlassian.net/browse/MFT-1793" TargetMode="External" Id="rId82" /><Relationship Type="http://schemas.openxmlformats.org/officeDocument/2006/relationships/hyperlink" Target="https://tabby.atlassian.net/browse/MFT-1794" TargetMode="External" Id="rId83" /><Relationship Type="http://schemas.openxmlformats.org/officeDocument/2006/relationships/hyperlink" Target="https://tabby.atlassian.net/browse/MFT-1799" TargetMode="External" Id="rId84" /><Relationship Type="http://schemas.openxmlformats.org/officeDocument/2006/relationships/hyperlink" Target="https://tabby.atlassian.net/browse/MFT-1800" TargetMode="External" Id="rId85" /><Relationship Type="http://schemas.openxmlformats.org/officeDocument/2006/relationships/hyperlink" Target="https://tabby.atlassian.net/browse/MFT-1802" TargetMode="External" Id="rId86" /><Relationship Type="http://schemas.openxmlformats.org/officeDocument/2006/relationships/hyperlink" Target="https://tabby.atlassian.net/browse/MFT-1803" TargetMode="External" Id="rId87" /><Relationship Type="http://schemas.openxmlformats.org/officeDocument/2006/relationships/hyperlink" Target="https://tabby.atlassian.net/browse/MFT-1804" TargetMode="External" Id="rId88" /><Relationship Type="http://schemas.openxmlformats.org/officeDocument/2006/relationships/hyperlink" Target="https://tabby.atlassian.net/browse/MFT-1805" TargetMode="External" Id="rId89" /><Relationship Type="http://schemas.openxmlformats.org/officeDocument/2006/relationships/hyperlink" Target="https://tabby.atlassian.net/browse/MFT-1807" TargetMode="External" Id="rId90" /><Relationship Type="http://schemas.openxmlformats.org/officeDocument/2006/relationships/hyperlink" Target="https://tabby.atlassian.net/browse/MFT-1808" TargetMode="External" Id="rId91" /><Relationship Type="http://schemas.openxmlformats.org/officeDocument/2006/relationships/hyperlink" Target="https://tabby.atlassian.net/browse/MFT-1810" TargetMode="External" Id="rId92" /><Relationship Type="http://schemas.openxmlformats.org/officeDocument/2006/relationships/hyperlink" Target="https://tabby.atlassian.net/browse/MFT-1821" TargetMode="External" Id="rId93" /><Relationship Type="http://schemas.openxmlformats.org/officeDocument/2006/relationships/hyperlink" Target="https://tabby.atlassian.net/browse/MFT-1822" TargetMode="External" Id="rId94" /><Relationship Type="http://schemas.openxmlformats.org/officeDocument/2006/relationships/hyperlink" Target="https://tabby.atlassian.net/browse/MFT-1823" TargetMode="External" Id="rId95" /><Relationship Type="http://schemas.openxmlformats.org/officeDocument/2006/relationships/hyperlink" Target="https://tabby.atlassian.net/browse/MFT-1824" TargetMode="External" Id="rId96" /></Relationships>
</file>

<file path=xl/worksheets/sheet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7" sqref="A17:H27"/>
    </sheetView>
  </sheetViews>
  <sheetFormatPr baseColWidth="10" defaultColWidth="8.83203125" defaultRowHeight="15"/>
  <cols>
    <col width="28" customWidth="1" style="44" min="1" max="1"/>
    <col width="16" customWidth="1" style="44" min="2" max="2"/>
    <col width="52" customWidth="1" style="44" min="3" max="3"/>
    <col width="42" customWidth="1" style="44" min="4" max="4"/>
    <col width="14" customWidth="1" style="44" min="5" max="8"/>
  </cols>
  <sheetData>
    <row r="1" ht="36" customHeight="1" s="44">
      <c r="A1" s="49" t="inlineStr">
        <is>
          <t>CAPITAL TECH DEBT — ENRICHED FINDINGS REPORT v2</t>
        </is>
      </c>
    </row>
    <row r="2" ht="18" customHeight="1" s="44">
      <c r="A2" s="55" t="inlineStr">
        <is>
          <t>Sources: Jira · GitLab · NotebookLM (Billing Discovery) · Granola · BigQuery (merchants_rawdata)   |   Generated: 2026-02-27</t>
        </is>
      </c>
    </row>
    <row r="4" ht="22" customHeight="1" s="44">
      <c r="A4" s="56" t="inlineStr">
        <is>
          <t>📊  VERDICT DASHBOARD (v2 — All Sources)</t>
        </is>
      </c>
    </row>
    <row r="5" ht="18" customHeight="1" s="44">
      <c r="A5" s="1" t="inlineStr">
        <is>
          <t>Verdict</t>
        </is>
      </c>
      <c r="B5" s="1" t="inlineStr">
        <is>
          <t>Count</t>
        </is>
      </c>
      <c r="C5" s="1" t="inlineStr">
        <is>
          <t>Key Detail</t>
        </is>
      </c>
      <c r="D5" s="1" t="n"/>
    </row>
    <row r="6" ht="90" customHeight="1" s="44">
      <c r="A6" s="76" t="inlineStr">
        <is>
          <t>🟢 READY</t>
        </is>
      </c>
      <c r="B6" s="77" t="n">
        <v>1</v>
      </c>
      <c r="C6" s="78" t="inlineStr">
        <is>
          <t>1 ready (MFT-1800 only) — all 3 template sections present</t>
        </is>
      </c>
      <c r="D6" s="66" t="n"/>
      <c r="E6" s="66" t="n"/>
      <c r="F6" s="66" t="n"/>
      <c r="G6" s="66" t="n"/>
      <c r="H6" s="67" t="n"/>
    </row>
    <row r="7" ht="90" customHeight="1" s="44">
      <c r="A7" s="79" t="inlineStr">
        <is>
          <t>🟠 NEEDS CLARITY</t>
        </is>
      </c>
      <c r="B7" s="80" t="n">
        <v>107</v>
      </c>
      <c r="C7" s="81" t="inlineStr">
        <is>
          <t>Missing Context, Approach, or Outcome/DoD in Jira description</t>
        </is>
      </c>
      <c r="D7" s="46" t="n"/>
      <c r="E7" s="46" t="n"/>
      <c r="F7" s="46" t="n"/>
      <c r="G7" s="46" t="n"/>
      <c r="H7" s="47" t="n"/>
    </row>
    <row r="8" ht="90" customHeight="1" s="44">
      <c r="A8" s="82" t="inlineStr">
        <is>
          <t>🔴 BLOCKED</t>
        </is>
      </c>
      <c r="B8" s="83" t="inlineStr">
        <is>
          <t>0</t>
        </is>
      </c>
      <c r="C8" s="84" t="inlineStr">
        <is>
          <t>Blocked on MR !482 (billing-schedule, Denis Larionov) or Reem API readiness.
• Billing SoT migration chain (blocked on !482): MFT-1671, 1673, 1674, 1675
• Billing architectural changes (blocked on !482): MFT-1812, 1815, 1698
• Reem integration (blocked on Reem API/SFTP readiness): MFT-1838, 1795
• QA + Spikes (blocked on billing SoT decisions): MFT-1816, 1817, 1819, 1820</t>
        </is>
      </c>
      <c r="D8" s="46" t="n"/>
      <c r="E8" s="46" t="n"/>
      <c r="F8" s="46" t="n"/>
      <c r="G8" s="46" t="n"/>
      <c r="H8" s="47" t="n"/>
    </row>
    <row r="9" ht="90" customHeight="1" s="44">
      <c r="A9" s="85" t="inlineStr">
        <is>
          <t>🟡 IN PROGRESS</t>
        </is>
      </c>
      <c r="B9" s="86" t="inlineStr">
        <is>
          <t>0</t>
        </is>
      </c>
      <c r="C9" s="87" t="inlineStr">
        <is>
          <t>Active development — monitor for completion.
• MFT-1718: Resolve DD automated vs manual repayment conflicts (Evgenii)
• MFT-1703: Automate control of offer status
• MFT-1876: Check precision of amount for manual repayments</t>
        </is>
      </c>
      <c r="D9" s="46" t="n"/>
      <c r="E9" s="46" t="n"/>
      <c r="F9" s="46" t="n"/>
      <c r="G9" s="46" t="n"/>
      <c r="H9" s="47" t="n"/>
    </row>
    <row r="10" ht="90" customHeight="1" s="44">
      <c r="A10" s="88" t="inlineStr">
        <is>
          <t>✅ DONE</t>
        </is>
      </c>
      <c r="B10" s="89" t="inlineStr">
        <is>
          <t>0</t>
        </is>
      </c>
      <c r="C10" s="90" t="inlineStr">
        <is>
          <t>Confirmed complete via GitLab + Jira.
• MFT-1691: Alert for stuck DD repayments — merged &amp; live
• MFT-1688: Reconciliation job improvement + alerts + reports — merged &amp; live
• MFT-1716: [Spike] Research alert for failed DD repayment creation — complete
• MFT-1818: Capital decommission step — Cancelled (treated as Done)
• MFT-1672: FRF task recreation — Cancelled/resolved in release
• MFT-1684: Reconciliation guardrails job — Done in Jira</t>
        </is>
      </c>
      <c r="D10" s="46" t="n"/>
      <c r="E10" s="46" t="n"/>
      <c r="F10" s="46" t="n"/>
      <c r="G10" s="46" t="n"/>
      <c r="H10" s="47" t="n"/>
    </row>
    <row r="11" ht="70" customHeight="1" s="44">
      <c r="A11" s="91" t="inlineStr">
        <is>
          <t>🔴 MUST-DO</t>
        </is>
      </c>
      <c r="B11" s="92" t="inlineStr">
        <is>
          <t>0</t>
        </is>
      </c>
      <c r="C11" s="93" t="inlineStr">
        <is>
          <t>Critical gate item with COO visibility — must not slip.
• MFT-1748: Increase Capital Observability — COO escalation, release gate dependency</t>
        </is>
      </c>
      <c r="D11" s="46" t="n"/>
      <c r="E11" s="46" t="n"/>
      <c r="F11" s="46" t="n"/>
      <c r="G11" s="46" t="n"/>
      <c r="H11" s="47" t="n"/>
    </row>
    <row r="12" ht="18" customHeight="1" s="44">
      <c r="A12" s="94" t="inlineStr">
        <is>
          <t>TOTAL</t>
        </is>
      </c>
      <c r="B12" s="95" t="inlineStr">
        <is>
          <t>108</t>
        </is>
      </c>
      <c r="C12" s="96" t="inlineStr">
        <is>
          <t>1 ready + 107 needs clarity (of 108 total)</t>
        </is>
      </c>
      <c r="D12" s="46" t="n"/>
      <c r="E12" s="46" t="n"/>
      <c r="F12" s="46" t="n"/>
      <c r="G12" s="46" t="n"/>
      <c r="H12" s="47" t="n"/>
    </row>
    <row r="13" ht="18" customHeight="1" s="44">
      <c r="A13" s="97" t="n"/>
      <c r="B13" s="97" t="n"/>
      <c r="C13" s="97" t="n"/>
      <c r="D13" s="98" t="n"/>
      <c r="E13" s="98" t="n"/>
      <c r="F13" s="98" t="n"/>
      <c r="G13" s="98" t="n"/>
      <c r="H13" s="98" t="n"/>
    </row>
    <row r="17" ht="22" customHeight="1" s="44"/>
    <row r="18" ht="18" customHeight="1" s="44"/>
    <row r="19" ht="28" customHeight="1" s="44"/>
    <row r="20" ht="28" customHeight="1" s="44"/>
    <row r="21" ht="28" customHeight="1" s="44"/>
    <row r="22" ht="28" customHeight="1" s="44"/>
    <row r="23" ht="28" customHeight="1" s="44"/>
    <row r="24" ht="28" customHeight="1" s="44"/>
    <row r="25" ht="28" customHeight="1" s="44"/>
    <row r="26" ht="28" customHeight="1" s="44"/>
    <row r="27" ht="28" customHeight="1" s="44"/>
  </sheetData>
  <mergeCells count="10">
    <mergeCell ref="C11:H11"/>
    <mergeCell ref="C6:H6"/>
    <mergeCell ref="C10:H10"/>
    <mergeCell ref="A4:H4"/>
    <mergeCell ref="A2:H2"/>
    <mergeCell ref="C9:H9"/>
    <mergeCell ref="C8:H8"/>
    <mergeCell ref="A1:H1"/>
    <mergeCell ref="C12:H12"/>
    <mergeCell ref="C7:H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1"/>
  <sheetViews>
    <sheetView tabSelected="1" workbookViewId="0">
      <pane ySplit="3" topLeftCell="A4" activePane="bottomLeft" state="frozen"/>
      <selection pane="bottomLeft" activeCell="A1" sqref="A1:L1"/>
    </sheetView>
  </sheetViews>
  <sheetFormatPr baseColWidth="10" defaultColWidth="8.83203125" defaultRowHeight="15"/>
  <cols>
    <col width="28" customWidth="1" style="44" min="1" max="1"/>
    <col width="10" customWidth="1" style="44" min="2" max="2"/>
    <col width="12" customWidth="1" style="44" min="3" max="4"/>
    <col width="40" customWidth="1" style="44" min="5" max="5"/>
    <col width="14" customWidth="1" style="44" min="6" max="6"/>
    <col width="18" customWidth="1" style="44" min="7" max="7"/>
    <col width="13" customWidth="1" style="44" min="8" max="8"/>
    <col width="19" customWidth="1" style="44" min="9" max="9"/>
    <col width="52" customWidth="1" style="44" min="10" max="11"/>
    <col width="60" customWidth="1" style="44" min="12" max="12"/>
  </cols>
  <sheetData>
    <row r="1" ht="34" customHeight="1" s="44">
      <c r="A1" s="57" t="inlineStr">
        <is>
          <t>CAPITAL TECH DEBT — EPIC × TASK BREAKDOWN (108 Tasks)</t>
        </is>
      </c>
    </row>
    <row r="2" ht="16" customHeight="1" s="44">
      <c r="A2" s="55" t="inlineStr">
        <is>
          <t>All 108 tasks enriched with GitLab + NotebookLM + Granola + BigQuery context   |   Generated: 2026-02-27</t>
        </is>
      </c>
    </row>
    <row r="3" ht="22" customHeight="1" s="44">
      <c r="A3" s="17" t="inlineStr">
        <is>
          <t>Epic</t>
        </is>
      </c>
      <c r="B3" s="17" t="inlineStr">
        <is>
          <t>Phase</t>
        </is>
      </c>
      <c r="C3" s="17" t="inlineStr">
        <is>
          <t>Issue Key</t>
        </is>
      </c>
      <c r="D3" s="17" t="inlineStr">
        <is>
          <t>Jira Link</t>
        </is>
      </c>
      <c r="E3" s="17" t="inlineStr">
        <is>
          <t>Summary</t>
        </is>
      </c>
      <c r="F3" s="17" t="inlineStr">
        <is>
          <t>Jira Status</t>
        </is>
      </c>
      <c r="G3" s="17" t="inlineStr">
        <is>
          <t>Assignee</t>
        </is>
      </c>
      <c r="H3" s="17" t="inlineStr">
        <is>
          <t>Desc Quality</t>
        </is>
      </c>
      <c r="I3" s="17" t="inlineStr">
        <is>
          <t>Verdict (v2)</t>
        </is>
      </c>
      <c r="J3" s="17" t="inlineStr">
        <is>
          <t>Description Analysis</t>
        </is>
      </c>
      <c r="K3" s="17" t="inlineStr">
        <is>
          <t>Recommended Changes</t>
        </is>
      </c>
      <c r="L3" s="17" t="inlineStr">
        <is>
          <t>Expected Description</t>
        </is>
      </c>
    </row>
    <row r="4" ht="90" customHeight="1" s="44">
      <c r="A4" s="18" t="inlineStr">
        <is>
          <t>Epic: Foundation &amp; Billing SoT</t>
        </is>
      </c>
      <c r="B4" s="19" t="inlineStr">
        <is>
          <t>Phase 1</t>
        </is>
      </c>
      <c r="C4" s="20" t="inlineStr">
        <is>
          <t>MFT-1671</t>
        </is>
      </c>
      <c r="D4" s="21" t="inlineStr">
        <is>
          <t>MFT-1671</t>
        </is>
      </c>
      <c r="E4" s="22" t="inlineStr">
        <is>
          <t>FRF Unified Module for Installment Dates</t>
        </is>
      </c>
      <c r="F4" s="100" t="inlineStr">
        <is>
          <t>To DO</t>
        </is>
      </c>
      <c r="G4" s="101" t="inlineStr">
        <is>
          <t>Evgenii Tumanovskii</t>
        </is>
      </c>
      <c r="H4" s="154" t="inlineStr">
        <is>
          <t>✗ All missing</t>
        </is>
      </c>
      <c r="I4" s="155" t="inlineStr">
        <is>
          <t>🟠 NEEDS CLARITY</t>
        </is>
      </c>
      <c r="J4" s="99" t="inlineStr">
        <is>
          <t>Template Assessment:
  Context:     ✗ Missing
  Outcome/DoD: ✗ Missing
  Approach:    ✗ Missing
  Desc length: 3420 chars
Enrichment available:
  • BigQuery (frf)
  • Granola (meeting notes)</t>
        </is>
      </c>
      <c r="K4"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4" s="157" t="inlineStr">
        <is>
          <t>Context
FRF (Fixed Repayment Frequency): installments have 3 periods (P1M, P1W, P2W); virtual_card_installments P1M only. FRF requires handling variable periods.
Evidence: BQ: installments have period_unit P1M (28M), P1W (2.3M), P2W (1.5M); vc_installments only P1M.
BQ data for FRF analysis: BQ confirms FRF date complexity: installments use 3 distinct installment periods (P1M, P1W, P2W), virtual_card_installments use P1M only, monthly_billing uses P1M+P2W. Unified installment date module must handle all period variants.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5" ht="90" customHeight="1" s="44">
      <c r="A5" s="18" t="inlineStr">
        <is>
          <t>Epic: Foundation &amp; Billing SoT</t>
        </is>
      </c>
      <c r="B5" s="19" t="inlineStr">
        <is>
          <t>Phase 1</t>
        </is>
      </c>
      <c r="C5" s="29" t="inlineStr">
        <is>
          <t>MFT-1673</t>
        </is>
      </c>
      <c r="D5" s="30" t="inlineStr">
        <is>
          <t>MFT-1673</t>
        </is>
      </c>
      <c r="E5" s="16" t="inlineStr">
        <is>
          <t>Get loan state from billing</t>
        </is>
      </c>
      <c r="F5" s="100" t="inlineStr">
        <is>
          <t>To DO</t>
        </is>
      </c>
      <c r="G5" s="102" t="inlineStr">
        <is>
          <t>Evgenii Tumanovskii</t>
        </is>
      </c>
      <c r="H5" s="154" t="inlineStr">
        <is>
          <t>✗ All missing</t>
        </is>
      </c>
      <c r="I5" s="155" t="inlineStr">
        <is>
          <t>🟠 NEEDS CLARITY</t>
        </is>
      </c>
      <c r="J5" s="99" t="inlineStr">
        <is>
          <t>Template Assessment:
  Context:     ✗ Missing
  Outcome/DoD: ✗ Missing
  Approach:    ✗ Missing
  Desc length: 1130 chars
Enrichment available:
  • BigQuery (loan_state)
  • Granola (meeting notes)</t>
        </is>
      </c>
      <c r="K5"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5" s="157" t="inlineStr">
        <is>
          <t>Context
All loans since October had incorrect start dates — disbursement date used instead of first installment date. Zero unit tests for billing integration allowed this to go undetected for months.
Evidence: Nov 5th confirmed as date incorrect starts began. Affected all new loans for ~3 months.
BQ data shows the loan state discrepancy: BQ confirms contradictory loan state flags at scale: 27M+ virtual_card_installment loans and 19M+ installment loans have BOTH is_active=TRUE AND is_closed=TRUE simultaneously. Multi-flag state model is provably inconsistent — getting state from billing (single source) would eliminate this.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6" ht="90" customHeight="1" s="44">
      <c r="A6" s="18" t="inlineStr">
        <is>
          <t>Epic: Foundation &amp; Billing SoT</t>
        </is>
      </c>
      <c r="B6" s="19" t="inlineStr">
        <is>
          <t>Phase 1</t>
        </is>
      </c>
      <c r="C6" s="20" t="inlineStr">
        <is>
          <t>MFT-1674</t>
        </is>
      </c>
      <c r="D6" s="21" t="inlineStr">
        <is>
          <t>MFT-1674</t>
        </is>
      </c>
      <c r="E6" s="22" t="inlineStr">
        <is>
          <t>FRF Unified Module for Installments Amount</t>
        </is>
      </c>
      <c r="F6" s="100" t="inlineStr">
        <is>
          <t>To DO</t>
        </is>
      </c>
      <c r="G6" s="101" t="inlineStr">
        <is>
          <t>Evgenii Tumanovskii</t>
        </is>
      </c>
      <c r="H6" s="154" t="inlineStr">
        <is>
          <t>✗ All missing</t>
        </is>
      </c>
      <c r="I6" s="155" t="inlineStr">
        <is>
          <t>🟠 NEEDS CLARITY</t>
        </is>
      </c>
      <c r="J6" s="99" t="inlineStr">
        <is>
          <t>Template Assessment:
  Context:     ✗ Missing
  Outcome/DoD: ✗ Missing
  Approach:    ✗ Missing
  Desc length: 530 chars
Enrichment available:
  • BigQuery (frf)
  • Granola (meeting notes)</t>
        </is>
      </c>
      <c r="K6"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6" s="157" t="inlineStr">
        <is>
          <t>Context
FRF task — part of Reem integration prerequisites. Capital must be stable and billing SoT before Reem can be onboarded.
Evidence: Meeting: Reem pushed to June because Capital stability not proven. FRF is Reem prerequisite.
BQ data for FRF analysis: BQ confirms FRF amount complexity: installments have 3 installment periods (P1M, P1W, P2W) meaning installment amounts vary by period. FRF unified module for installment amounts must handle weekly and bi-weekly amounts, not just monthly.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7" ht="90" customHeight="1" s="44">
      <c r="A7" s="18" t="inlineStr">
        <is>
          <t>Epic: Foundation &amp; Billing SoT</t>
        </is>
      </c>
      <c r="B7" s="19" t="inlineStr">
        <is>
          <t>Phase 1</t>
        </is>
      </c>
      <c r="C7" s="29" t="inlineStr">
        <is>
          <t>MFT-1675</t>
        </is>
      </c>
      <c r="D7" s="30" t="inlineStr">
        <is>
          <t>MFT-1675</t>
        </is>
      </c>
      <c r="E7" s="16" t="inlineStr">
        <is>
          <t>Get Minimal Repayment Amount from Billing for Pre-Approved Loans</t>
        </is>
      </c>
      <c r="F7" s="100" t="inlineStr">
        <is>
          <t>To DO</t>
        </is>
      </c>
      <c r="G7" s="102" t="inlineStr">
        <is>
          <t>Stanislav Kaychenkov</t>
        </is>
      </c>
      <c r="H7" s="154" t="inlineStr">
        <is>
          <t>✗ All missing</t>
        </is>
      </c>
      <c r="I7" s="155" t="inlineStr">
        <is>
          <t>🟠 NEEDS CLARITY</t>
        </is>
      </c>
      <c r="J7" s="99" t="inlineStr">
        <is>
          <t>Template Assessment:
  Context:     ✗ Missing
  Outcome/DoD: ✗ Missing
  Approach:    ✗ Missing
  Desc length: 509 chars
Enrichment available:
  • BigQuery (billing_migration)
  • Granola (meeting notes)</t>
        </is>
      </c>
      <c r="K7"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7" s="157" t="inlineStr">
        <is>
          <t>Context
Billing migration is prerequisite for Capital becoming 'dumb shell'. Target: consume installment plans from billing, replace task-based scheduling with cron, get min repayment amounts from billing.
Evidence: virtual_card_installments: 54.7M active loans, 54.7M with billing_disabled (99.8% NOT on billing). installments: 33.4M ALL billing_enabled.
BigQuery confirms the migration gap: BQ context: 29.95M virtual_card_installment loans not yet billing-enabled. Pre-approved loan minimal repayment amounts currently sourced from Capital legacy system, not billing — migration of this calculation is part of billing SoT project.
Outcome/Definition of Done
• Capital no longer performs independent calculations for this concern.
• All data sourced exclusively from Billing service.
• Existing automated tests pass; new integration test added to cover the billing-driven path.
• No regression in repayment accuracy confirmed by reconciliation job.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8" ht="90" customHeight="1" s="44">
      <c r="A8" s="18" t="inlineStr">
        <is>
          <t>Epic: Foundation &amp; Billing SoT</t>
        </is>
      </c>
      <c r="B8" s="19" t="inlineStr">
        <is>
          <t>Phase 1</t>
        </is>
      </c>
      <c r="C8" s="20" t="inlineStr">
        <is>
          <t>MFT-1812</t>
        </is>
      </c>
      <c r="D8" s="21" t="inlineStr">
        <is>
          <t>MFT-1812</t>
        </is>
      </c>
      <c r="E8" s="22" t="inlineStr">
        <is>
          <t>[BE] Unified entry-point for ALL repayments</t>
        </is>
      </c>
      <c r="F8" s="100" t="inlineStr">
        <is>
          <t>To DO</t>
        </is>
      </c>
      <c r="G8" s="101" t="inlineStr">
        <is>
          <t>Evgenii Tumanovskii</t>
        </is>
      </c>
      <c r="H8" s="154" t="inlineStr">
        <is>
          <t>Partial (1 missing)</t>
        </is>
      </c>
      <c r="I8" s="155" t="inlineStr">
        <is>
          <t>🟠 NEEDS CLARITY</t>
        </is>
      </c>
      <c r="J8" s="99" t="inlineStr">
        <is>
          <t>Template Assessment:
  Context:     ✓ Present
  Outcome/DoD: ✓ Present
  Approach:    ✗ Missing
  Desc length: 536 chars
Enrichment available:
  • Granola (meeting notes)</t>
        </is>
      </c>
      <c r="K8" s="156" t="inlineStr">
        <is>
          <t>Add the following to the Jira description:
• APPROACH — How will this be implemented?
  List the implementation steps, services affected, and dependencies.
  Note any blockers or prerequisites.</t>
        </is>
      </c>
      <c r="L8" s="157" t="inlineStr">
        <is>
          <t>Context
Capital refactoring — stop dual invoice creation, get min repayment amounts from billing only.
Evidence: Phase 2 migration: 'stop dual invoice creation' explicitly mentioned as tech debt elimination target.
Outcome/Definition of Done
One entry point for all repayments that will support just creation of repayment. Processing will be handled separately depending on the type of repayment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9" ht="90" customHeight="1" s="44">
      <c r="A9" s="18" t="inlineStr">
        <is>
          <t>Epic: Foundation &amp; Billing SoT</t>
        </is>
      </c>
      <c r="B9" s="19" t="inlineStr">
        <is>
          <t>Phase 1</t>
        </is>
      </c>
      <c r="C9" s="29" t="inlineStr">
        <is>
          <t>MFT-1815</t>
        </is>
      </c>
      <c r="D9" s="30" t="inlineStr">
        <is>
          <t>MFT-1815</t>
        </is>
      </c>
      <c r="E9" s="16" t="inlineStr">
        <is>
          <t>[BE] Change capital loan to loan configuration</t>
        </is>
      </c>
      <c r="F9" s="100" t="inlineStr">
        <is>
          <t>To DO</t>
        </is>
      </c>
      <c r="G9" s="102" t="inlineStr">
        <is>
          <t>Evgenii Tumanovskii</t>
        </is>
      </c>
      <c r="H9" s="154" t="inlineStr">
        <is>
          <t>Partial (1 missing)</t>
        </is>
      </c>
      <c r="I9" s="155" t="inlineStr">
        <is>
          <t>🟠 NEEDS CLARITY</t>
        </is>
      </c>
      <c r="J9" s="99" t="inlineStr">
        <is>
          <t>Template Assessment:
  Context:     ✓ Present
  Outcome/DoD: ✓ Present
  Approach:    ✗ Missing
  Desc length: 464 chars
Enrichment available:
  • Granola (meeting notes)</t>
        </is>
      </c>
      <c r="K9" s="156" t="inlineStr">
        <is>
          <t>Add the following to the Jira description:
• APPROACH — How will this be implemented?
  List the implementation steps, services affected, and dependencies.
  Note any blockers or prerequisites.</t>
        </is>
      </c>
      <c r="L9" s="157" t="inlineStr">
        <is>
          <t>Context
Capital BE refactoring — part of 2-week Phase 2 migration to make Capital a dumb shell consuming billing data.
Evidence: CTO deadline: 2 weeks to make billing SoT, Capital must stop own financial calculations.
Outcome/Definition of Done
• Implementation of "[BE] Change capital loan to loan configuration"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10" ht="90" customHeight="1" s="44">
      <c r="A10" s="18" t="inlineStr">
        <is>
          <t>Epic: Foundation &amp; Billing SoT</t>
        </is>
      </c>
      <c r="B10" s="19" t="inlineStr">
        <is>
          <t>Phase 1</t>
        </is>
      </c>
      <c r="C10" s="20" t="inlineStr">
        <is>
          <t>MFT-1809</t>
        </is>
      </c>
      <c r="D10" s="21" t="inlineStr">
        <is>
          <t>MFT-1809</t>
        </is>
      </c>
      <c r="E10" s="22" t="inlineStr">
        <is>
          <t>[BE] Stop storing amount and status of loan in capital</t>
        </is>
      </c>
      <c r="F10" s="100" t="inlineStr">
        <is>
          <t>To DO</t>
        </is>
      </c>
      <c r="G10" s="101" t="inlineStr">
        <is>
          <t>Evgenii Tumanovskii</t>
        </is>
      </c>
      <c r="H10" s="158" t="inlineStr">
        <is>
          <t>✗ All missing</t>
        </is>
      </c>
      <c r="I10" s="155" t="inlineStr">
        <is>
          <t>🟠 NEEDS CLARITY</t>
        </is>
      </c>
      <c r="J10" s="99" t="inlineStr">
        <is>
          <t>Template Assessment:
  Context:     ✗ Missing
  Outcome/DoD: ✗ Missing
  Approach:    ✗ Missing
Enrichment available:
  • BigQuery (loan_state)
  • Granola (meeting notes)</t>
        </is>
      </c>
      <c r="K10"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10" s="157" t="inlineStr">
        <is>
          <t>Context
Capital BE refactoring: target is Capital as 'dumb shell' — all logic moves to Billing/external LMS. Breaking Capital into 2 services: Application service + Repayments service.
Evidence: Meeting: Phase 2 migration plan (2 weeks) — consume installment plans from billing, replace task-based scheduling with cron, get min repayment amounts from billing.
BQ data shows the loan state discrepancy: BQ confirms: Capital stores redundant/contradictory loan state — 27M virtual_card and 19M installment loans have is_active=TRUE AND is_closed=TRUE simultaneously. Stopping storage of amount and status in Capital (delegating to billing) would eliminate this class of bug.
Outcome/Definition of Done
• No repayment precision errors (KWD 3dp, BHD 3dp) pass validation.
• Validation rejects incorrect precision at API boundary.
• Regression tests cover all supported currencies.
Approach
• Identify all repayment amount calculation paths affected by precision issue
• Add input validation enforcing correct decimal precision per currency (KWD: 3dp, BHD: 3dp, AED/SAR: 2dp)
• Reject invalid precision at API boundary with clear error message
• Add unit tests for each currency covering boundary cases
• Run BQ query post-deploy to confirm zero new precision violations</t>
        </is>
      </c>
    </row>
    <row r="11" ht="90" customHeight="1" s="44">
      <c r="A11" s="18" t="inlineStr">
        <is>
          <t>Epic: Monitoring &amp; Alerting</t>
        </is>
      </c>
      <c r="B11" s="19" t="inlineStr">
        <is>
          <t>Phase 1</t>
        </is>
      </c>
      <c r="C11" s="29" t="inlineStr">
        <is>
          <t>MFT-1748</t>
        </is>
      </c>
      <c r="D11" s="30" t="inlineStr">
        <is>
          <t>MFT-1748</t>
        </is>
      </c>
      <c r="E11" s="16" t="inlineStr">
        <is>
          <t>Increate Capital Observability</t>
        </is>
      </c>
      <c r="F11" s="103" t="inlineStr">
        <is>
          <t>Backlog</t>
        </is>
      </c>
      <c r="G11" s="102" t="inlineStr">
        <is>
          <t>Stanislav Kaychenkov</t>
        </is>
      </c>
      <c r="H11" s="154" t="inlineStr">
        <is>
          <t>Partial (1 missing)</t>
        </is>
      </c>
      <c r="I11" s="155" t="inlineStr">
        <is>
          <t>🟠 NEEDS CLARITY</t>
        </is>
      </c>
      <c r="J11" s="99" t="inlineStr">
        <is>
          <t>Template Assessment:
  Context:     ✓ Present
  Outcome/DoD: ✓ Present
  Approach:    ✗ Missing
  Desc length: 656 chars
No external enrichment found — enrich from Jira description.</t>
        </is>
      </c>
      <c r="K11" s="156" t="inlineStr">
        <is>
          <t>Add the following to the Jira description:
• APPROACH — How will this be implemented?
  List the implementation steps, services affected, and dependencies.
  Note any blockers or prerequisites.</t>
        </is>
      </c>
      <c r="L11" s="157" t="inlineStr">
        <is>
          <t>Context
We don’t have enough metrics and notifications to properly assess the service performance and react to issues proactively
Outcome/Definition of Done
Have a 
documented test model
 that covers all aspects of:
The set of service entities
The set of states for each of these entities
The overall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2" ht="90" customHeight="1" s="44">
      <c r="A12" s="18" t="inlineStr">
        <is>
          <t>Epic: Monitoring &amp; Alerting</t>
        </is>
      </c>
      <c r="B12" s="19" t="inlineStr">
        <is>
          <t>Phase 1</t>
        </is>
      </c>
      <c r="C12" s="20" t="inlineStr">
        <is>
          <t>MFT-1752</t>
        </is>
      </c>
      <c r="D12" s="21" t="inlineStr">
        <is>
          <t>MFT-1752</t>
        </is>
      </c>
      <c r="E12" s="22" t="inlineStr">
        <is>
          <t>create monitor for no new offers</t>
        </is>
      </c>
      <c r="F12" s="100" t="inlineStr">
        <is>
          <t>To DO</t>
        </is>
      </c>
      <c r="G12" s="101" t="inlineStr">
        <is>
          <t>Stanislav Kaychenkov</t>
        </is>
      </c>
      <c r="H12" s="159" t="inlineStr">
        <is>
          <t>Partial (2 missing)</t>
        </is>
      </c>
      <c r="I12" s="155" t="inlineStr">
        <is>
          <t>🟠 NEEDS CLARITY</t>
        </is>
      </c>
      <c r="J12" s="99" t="inlineStr">
        <is>
          <t>Template Assessment:
  Context:     ✗ Missing
  Outcome/DoD: ✓ Present
  Approach:    ✗ Missing
  Desc length: 203 chars
Enrichment available:
  • Granola (meeting notes)</t>
        </is>
      </c>
      <c r="K12"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12" s="157" t="inlineStr">
        <is>
          <t>Context
Common tech issues monitoring: 1-day task per meeting notes. Part of comprehensive monitoring plan after CTO intervention.
Evidence: Team acknowledged: information only in staff memory, not documented or monitored.
Outcome/Definition of Done
Monitor checks offer creation events.
Alert triggers if no offers are created for 3 consecutive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3" ht="90" customHeight="1" s="44">
      <c r="A13" s="18" t="inlineStr">
        <is>
          <t>Epic: Monitoring &amp; Alerting</t>
        </is>
      </c>
      <c r="B13" s="19" t="inlineStr">
        <is>
          <t>Phase 1</t>
        </is>
      </c>
      <c r="C13" s="29" t="inlineStr">
        <is>
          <t>MFT-1753</t>
        </is>
      </c>
      <c r="D13" s="30" t="inlineStr">
        <is>
          <t>MFT-1753</t>
        </is>
      </c>
      <c r="E13" s="16" t="inlineStr">
        <is>
          <t>create monitor for application no new mandates</t>
        </is>
      </c>
      <c r="F13" s="100" t="inlineStr">
        <is>
          <t>To DO</t>
        </is>
      </c>
      <c r="G13" s="102" t="inlineStr">
        <is>
          <t>Stanislav Kaychenkov</t>
        </is>
      </c>
      <c r="H13" s="159" t="inlineStr">
        <is>
          <t>Partial (2 missing)</t>
        </is>
      </c>
      <c r="I13" s="155" t="inlineStr">
        <is>
          <t>🟠 NEEDS CLARITY</t>
        </is>
      </c>
      <c r="J13" s="99" t="inlineStr">
        <is>
          <t>Template Assessment:
  Context:     ✗ Missing
  Outcome/DoD: ✓ Present
  Approach:    ✗ Missing
  Desc length: 208 chars
Enrichment available:
  • Granola (meeting notes)</t>
        </is>
      </c>
      <c r="K13"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13" s="157" t="inlineStr">
        <is>
          <t>Context
Golden flow monitoring framework: CTO demanded alert when loans pending &gt;1 day. Framework covers entire loan lifecycle from disbursement to repayment.
Evidence: Red card incident Feb 2026 was discovered manually, not by any alert system.
Outcome/Definition of Done
Monitor tracks authorized DD mandates.
Alert triggers if zero new mandates appear for 3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4" ht="90" customHeight="1" s="44">
      <c r="A14" s="18" t="inlineStr">
        <is>
          <t>Epic: Monitoring &amp; Alerting</t>
        </is>
      </c>
      <c r="B14" s="19" t="inlineStr">
        <is>
          <t>Phase 1</t>
        </is>
      </c>
      <c r="C14" s="20" t="inlineStr">
        <is>
          <t>MFT-1754</t>
        </is>
      </c>
      <c r="D14" s="21" t="inlineStr">
        <is>
          <t>MFT-1754</t>
        </is>
      </c>
      <c r="E14" s="22" t="inlineStr">
        <is>
          <t>create monitor for no new contracts</t>
        </is>
      </c>
      <c r="F14" s="100" t="inlineStr">
        <is>
          <t>To DO</t>
        </is>
      </c>
      <c r="G14" s="101" t="inlineStr">
        <is>
          <t>Stanislav Kaychenkov</t>
        </is>
      </c>
      <c r="H14" s="159" t="inlineStr">
        <is>
          <t>Partial (2 missing)</t>
        </is>
      </c>
      <c r="I14" s="155" t="inlineStr">
        <is>
          <t>🟠 NEEDS CLARITY</t>
        </is>
      </c>
      <c r="J14" s="99" t="inlineStr">
        <is>
          <t>Template Assessment:
  Context:     ✗ Missing
  Outcome/DoD: ✓ Present
  Approach:    ✗ Missing
  Desc length: 202 chars
Enrichment available:
  • Granola (meeting notes)</t>
        </is>
      </c>
      <c r="K14"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14" s="157" t="inlineStr">
        <is>
          <t>Context
Monitor creation task — part of systematic monitoring buildout after CTO crisis. No monitoring existed for Capital financial flows.
Evidence: Meeting notes: 'No automated reconciliation, no alerts, manual processes.'
Outcome/Definition of Done
Monitor tracks contract signing events.
Alert triggers if no new signed contracts appear for 3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5" ht="90" customHeight="1" s="44">
      <c r="A15" s="18" t="inlineStr">
        <is>
          <t>Epic: Monitoring &amp; Alerting</t>
        </is>
      </c>
      <c r="B15" s="19" t="inlineStr">
        <is>
          <t>Phase 1</t>
        </is>
      </c>
      <c r="C15" s="20" t="inlineStr">
        <is>
          <t>MFT-1756</t>
        </is>
      </c>
      <c r="D15" s="21" t="inlineStr">
        <is>
          <t>MFT-1756</t>
        </is>
      </c>
      <c r="E15" s="105" t="inlineStr">
        <is>
          <t>Increate observability for repayment anomalies</t>
        </is>
      </c>
      <c r="F15" s="103" t="inlineStr">
        <is>
          <t>Backlog</t>
        </is>
      </c>
      <c r="G15" s="101" t="inlineStr">
        <is>
          <t>Stanislav Kaychenkov</t>
        </is>
      </c>
      <c r="H15" s="158" t="inlineStr">
        <is>
          <t>Partial (2 missing)</t>
        </is>
      </c>
      <c r="I15" s="155" t="inlineStr">
        <is>
          <t>🟠 NEEDS CLARITY</t>
        </is>
      </c>
      <c r="J15" s="99" t="inlineStr">
        <is>
          <t>Template Assessment:
  Context:     ✗ Missing
  Outcome/DoD: ✓ Present
  Approach:    ✗ Missing
  Desc length: 824 chars
Enrichment available:
  • Granola (meeting notes)</t>
        </is>
      </c>
      <c r="K15"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15" s="157" t="inlineStr">
        <is>
          <t>Context
Monitor creation task — part of systematic monitoring buildout post-red card incident.
Evidence: CTO: 'automated reconciliation hourly required for financial services grade operation.'
Outcome/Definition of Done
Monitors exist for both Full Revenue Flow (D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6" ht="90" customHeight="1" s="44">
      <c r="A16" s="18" t="inlineStr">
        <is>
          <t>Epic: Monitoring &amp; Alerting</t>
        </is>
      </c>
      <c r="B16" s="19" t="inlineStr">
        <is>
          <t>Phase 1</t>
        </is>
      </c>
      <c r="C16" s="29" t="inlineStr">
        <is>
          <t>MFT-1757</t>
        </is>
      </c>
      <c r="D16" s="30" t="inlineStr">
        <is>
          <t>MFT-1757</t>
        </is>
      </c>
      <c r="E16" s="106" t="inlineStr">
        <is>
          <t>Increate observability for Reem integration</t>
        </is>
      </c>
      <c r="F16" s="103" t="inlineStr">
        <is>
          <t>Backlog</t>
        </is>
      </c>
      <c r="G16" s="102" t="inlineStr">
        <is>
          <t>Stanislav Kaychenkov</t>
        </is>
      </c>
      <c r="H16" s="158" t="inlineStr">
        <is>
          <t>Partial (2 missing)</t>
        </is>
      </c>
      <c r="I16" s="155" t="inlineStr">
        <is>
          <t>🟠 NEEDS CLARITY</t>
        </is>
      </c>
      <c r="J16" s="99" t="inlineStr">
        <is>
          <t>Template Assessment:
  Context:     ✗ Missing
  Outcome/DoD: ✓ Present
  Approach:    ✗ Missing
  Desc length: 783 chars
Enrichment available:
  • BigQuery (reem_integration)
  • Granola (meeting notes)</t>
        </is>
      </c>
      <c r="K16"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16" s="157" t="inlineStr">
        <is>
          <t>Context
Reem integration: no reem funding_source in production yet. Timeline pushed to June due to Capital stability. All current loans use jpm/citi/self_funded.
Evidence: BQ: 0 loans with reem funding_source. Meeting: Reem pushed 4 months to June.
BQ context on Reem integration: BQ confirms: Reem integration not yet in production (no reem-funded loans). Observability for Reem integration must be built proactively before first loans are created — monitors will need to cover the first live loans.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7" ht="90" customHeight="1" s="44">
      <c r="A17" s="18" t="inlineStr">
        <is>
          <t>Epic: Monitoring &amp; Alerting</t>
        </is>
      </c>
      <c r="B17" s="19" t="inlineStr">
        <is>
          <t>Phase 1</t>
        </is>
      </c>
      <c r="C17" s="20" t="inlineStr">
        <is>
          <t>MFT-1758</t>
        </is>
      </c>
      <c r="D17" s="21" t="inlineStr">
        <is>
          <t>MFT-1758</t>
        </is>
      </c>
      <c r="E17" s="105" t="inlineStr">
        <is>
          <t>Increase observability for Direct Debit integration</t>
        </is>
      </c>
      <c r="F17" s="103" t="inlineStr">
        <is>
          <t>Backlog</t>
        </is>
      </c>
      <c r="G17" s="101" t="inlineStr">
        <is>
          <t>Stanislav Kaychenkov</t>
        </is>
      </c>
      <c r="H17" s="158" t="inlineStr">
        <is>
          <t>Partial (1 missing)</t>
        </is>
      </c>
      <c r="I17" s="155" t="inlineStr">
        <is>
          <t>🟠 NEEDS CLARITY</t>
        </is>
      </c>
      <c r="J17" s="99" t="inlineStr">
        <is>
          <t>Template Assessment:
  Context:     ✓ Present
  Outcome/DoD: ✓ Present
  Approach:    ✗ Missing
  Desc length: 615 chars
Enrichment available:
  • Granola (meeting notes)</t>
        </is>
      </c>
      <c r="K17" s="156" t="inlineStr">
        <is>
          <t>Add the following to the Jira description:
• APPROACH — How will this be implemented?
  List the implementation steps, services affected, and dependencies.
  Note any blockers or prerequisites.</t>
        </is>
      </c>
      <c r="L17" s="157" t="inlineStr">
        <is>
          <t>Context
Monitor creation task — part of systematic monitoring buildout. Jenya (Evgenii Tumanovskii) led reconciliation checker job implementation.
Evidence: Reconciliation checker: run on prod, fix until clean, convert to hourly/daily automated job.
Outcome/Definition of Done
Alerts exist for missing repayment request files and stalled mandate flows.
Failures in DD-related pip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8" ht="90" customHeight="1" s="44">
      <c r="A18" s="18" t="inlineStr">
        <is>
          <t>Epic: Monitoring &amp; Alerting</t>
        </is>
      </c>
      <c r="B18" s="19" t="inlineStr">
        <is>
          <t>Phase 1</t>
        </is>
      </c>
      <c r="C18" s="29" t="inlineStr">
        <is>
          <t>MFT-1759</t>
        </is>
      </c>
      <c r="D18" s="30" t="inlineStr">
        <is>
          <t>MFT-1759</t>
        </is>
      </c>
      <c r="E18" s="106" t="inlineStr">
        <is>
          <t>Increase observability on common technical issues</t>
        </is>
      </c>
      <c r="F18" s="103" t="inlineStr">
        <is>
          <t>Backlog</t>
        </is>
      </c>
      <c r="G18" s="102" t="inlineStr">
        <is>
          <t>Stanislav Kaychenkov</t>
        </is>
      </c>
      <c r="H18" s="158" t="inlineStr">
        <is>
          <t>Partial (2 missing)</t>
        </is>
      </c>
      <c r="I18" s="155" t="inlineStr">
        <is>
          <t>🟠 NEEDS CLARITY</t>
        </is>
      </c>
      <c r="J18" s="99" t="inlineStr">
        <is>
          <t>Template Assessment:
  Context:     ✗ Missing
  Outcome/DoD: ✓ Present
  Approach:    ✗ Missing
  Desc length: 663 chars
Enrichment available:
  • Granola (meeting notes)</t>
        </is>
      </c>
      <c r="K18"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18" s="157" t="inlineStr">
        <is>
          <t>Context
Monitor creation task for Capital financial flows — part of OKR restructuring post-crisis: billing SoT, mandatory QA gatekeeping, alert systems.
Evidence: Issues undetected for months: all loans since Nov 5 had incorrect start dates, zero unit tests.
Outcome/Definition of Done
Platform-wide alerts are in place for critical Capital health indi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9" ht="90" customHeight="1" s="44">
      <c r="A19" s="18" t="inlineStr">
        <is>
          <t>Epic: Monitoring &amp; Alerting</t>
        </is>
      </c>
      <c r="B19" s="19" t="inlineStr">
        <is>
          <t>Phase 1</t>
        </is>
      </c>
      <c r="C19" s="20" t="inlineStr">
        <is>
          <t>MFT-1760</t>
        </is>
      </c>
      <c r="D19" s="21" t="inlineStr">
        <is>
          <t>MFT-1760</t>
        </is>
      </c>
      <c r="E19" s="22" t="inlineStr">
        <is>
          <t>Create monitor for loan Premature Activation</t>
        </is>
      </c>
      <c r="F19" s="100" t="inlineStr">
        <is>
          <t>To DO</t>
        </is>
      </c>
      <c r="G19" s="101" t="inlineStr">
        <is>
          <t>Vladislav Nikolaev</t>
        </is>
      </c>
      <c r="H19" s="154" t="inlineStr">
        <is>
          <t>Partial (2 missing)</t>
        </is>
      </c>
      <c r="I19" s="155" t="inlineStr">
        <is>
          <t>🟠 NEEDS CLARITY</t>
        </is>
      </c>
      <c r="J19" s="99" t="inlineStr">
        <is>
          <t>Template Assessment:
  Context:     ✗ Missing
  Outcome/DoD: ✓ Present
  Approach:    ✗ Missing
  Desc length: 261 chars
Enrichment available:
  • Granola (meeting notes)</t>
        </is>
      </c>
      <c r="K19"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19" s="157" t="inlineStr">
        <is>
          <t>Context
Monitor creation task — part of comprehensive monitoring plan. 'Golden flow' monitoring: alert when loans pending &gt;1 day.
Evidence: 8.6M active AED virtual_card loans with 0 repayments in last 30 days — no alerts.
Outcome/Definition of Done
Monitor detects loan in active/paying state while disbursement is not executed or failed.
Alert is triggered with loan and disbursement IDs.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0" ht="90" customHeight="1" s="44">
      <c r="A20" s="18" t="inlineStr">
        <is>
          <t>Epic: Monitoring &amp; Alerting</t>
        </is>
      </c>
      <c r="B20" s="19" t="inlineStr">
        <is>
          <t>Phase 1</t>
        </is>
      </c>
      <c r="C20" s="29" t="inlineStr">
        <is>
          <t>MFT-1761</t>
        </is>
      </c>
      <c r="D20" s="30" t="inlineStr">
        <is>
          <t>MFT-1761</t>
        </is>
      </c>
      <c r="E20" s="16" t="inlineStr">
        <is>
          <t>Create monitor for disbursement Invoice Execution Lag</t>
        </is>
      </c>
      <c r="F20" s="100" t="inlineStr">
        <is>
          <t>To DO</t>
        </is>
      </c>
      <c r="G20" s="102" t="inlineStr">
        <is>
          <t>Vladislav Nikolaev</t>
        </is>
      </c>
      <c r="H20" s="159" t="inlineStr">
        <is>
          <t>Partial (2 missing)</t>
        </is>
      </c>
      <c r="I20" s="155" t="inlineStr">
        <is>
          <t>🟠 NEEDS CLARITY</t>
        </is>
      </c>
      <c r="J20" s="99" t="inlineStr">
        <is>
          <t>Template Assessment:
  Context:     ✗ Missing
  Outcome/DoD: ✓ Present
  Approach:    ✗ Missing
  Desc length: 215 chars
Enrichment available:
  • Granola (meeting notes)</t>
        </is>
      </c>
      <c r="K20"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20" s="157" t="inlineStr">
        <is>
          <t>Context
Monitor creation task — part of financial-services-grade monitoring framework demanded by CTO.
Evidence: Red card incident was discovered manually months after problem began.
Outcome/Definition of Done
Monitor tracks invoice creation and execution timestamps.
Alert triggers if invoice is pending execution &gt; 1 hour.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1" ht="90" customHeight="1" s="44">
      <c r="A21" s="18" t="inlineStr">
        <is>
          <t>Epic: Monitoring &amp; Alerting</t>
        </is>
      </c>
      <c r="B21" s="19" t="inlineStr">
        <is>
          <t>Phase 1</t>
        </is>
      </c>
      <c r="C21" s="20" t="inlineStr">
        <is>
          <t>MFT-1762</t>
        </is>
      </c>
      <c r="D21" s="21" t="inlineStr">
        <is>
          <t>MFT-1762</t>
        </is>
      </c>
      <c r="E21" s="22" t="inlineStr">
        <is>
          <t>create monitor for loan issuance broken</t>
        </is>
      </c>
      <c r="F21" s="100" t="inlineStr">
        <is>
          <t>To DO</t>
        </is>
      </c>
      <c r="G21" s="101" t="inlineStr">
        <is>
          <t>Vladislav Nikolaev</t>
        </is>
      </c>
      <c r="H21" s="159" t="inlineStr">
        <is>
          <t>Partial (2 missing)</t>
        </is>
      </c>
      <c r="I21" s="155" t="inlineStr">
        <is>
          <t>🟠 NEEDS CLARITY</t>
        </is>
      </c>
      <c r="J21" s="99" t="inlineStr">
        <is>
          <t>Template Assessment:
  Context:     ✗ Missing
  Outcome/DoD: ✓ Present
  Approach:    ✗ Missing
  Desc length: 224 chars
Enrichment available:
  • Granola (meeting notes)</t>
        </is>
      </c>
      <c r="K21"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21" s="157" t="inlineStr">
        <is>
          <t>Context
Monitor creation task — part of golden flow monitoring buildout.
Evidence: Meeting notes confirmed: reactive not proactive monitoring approach was root cause of crisis.
Outcome/Definition of Done
Monitor tracks loan creation/activation events.
Alert triggers if no new loans are created/activated for 3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2" ht="90" customHeight="1" s="44">
      <c r="A22" s="18" t="inlineStr">
        <is>
          <t>Epic: Monitoring &amp; Alerting</t>
        </is>
      </c>
      <c r="B22" s="19" t="inlineStr">
        <is>
          <t>Phase 1</t>
        </is>
      </c>
      <c r="C22" s="29" t="inlineStr">
        <is>
          <t>MFT-1763</t>
        </is>
      </c>
      <c r="D22" s="30" t="inlineStr">
        <is>
          <t>MFT-1763</t>
        </is>
      </c>
      <c r="E22" s="16" t="inlineStr">
        <is>
          <t>create monitor for disbursement creation broken</t>
        </is>
      </c>
      <c r="F22" s="100" t="inlineStr">
        <is>
          <t>To DO</t>
        </is>
      </c>
      <c r="G22" s="102" t="inlineStr">
        <is>
          <t>Vladislav Nikolaev</t>
        </is>
      </c>
      <c r="H22" s="159" t="inlineStr">
        <is>
          <t>Partial (2 missing)</t>
        </is>
      </c>
      <c r="I22" s="155" t="inlineStr">
        <is>
          <t>🟠 NEEDS CLARITY</t>
        </is>
      </c>
      <c r="J22" s="99" t="inlineStr">
        <is>
          <t>Template Assessment:
  Context:     ✗ Missing
  Outcome/DoD: ✓ Present
  Approach:    ✗ Missing
  Desc length: 238 chars
Enrichment available:
  • Granola (meeting notes)</t>
        </is>
      </c>
      <c r="K22"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22" s="157" t="inlineStr">
        <is>
          <t>Context
Monitor creation task — part of systematic monitoring buildout after CTO intervention Feb 2026.
Evidence: 181.6M in 'created' status repayments; 168.9M older than 30 days with no alert.
Outcome/Definition of Done
Monitor tracks disbursement creation events.
Alert triggers if no disbursements are created for 3 days.
Severity is P1/P2 depending on environment.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3" ht="90" customHeight="1" s="44">
      <c r="A23" s="18" t="inlineStr">
        <is>
          <t>Epic: Monitoring &amp; Alerting</t>
        </is>
      </c>
      <c r="B23" s="19" t="inlineStr">
        <is>
          <t>Phase 1</t>
        </is>
      </c>
      <c r="C23" s="20" t="inlineStr">
        <is>
          <t>MFT-1764</t>
        </is>
      </c>
      <c r="D23" s="21" t="inlineStr">
        <is>
          <t>MFT-1764</t>
        </is>
      </c>
      <c r="E23" s="22" t="inlineStr">
        <is>
          <t>create monitor for loan stuck in non active state</t>
        </is>
      </c>
      <c r="F23" s="100" t="inlineStr">
        <is>
          <t>To DO</t>
        </is>
      </c>
      <c r="G23" s="101" t="inlineStr">
        <is>
          <t>Vladislav Nikolaev</t>
        </is>
      </c>
      <c r="H23" s="159" t="inlineStr">
        <is>
          <t>Partial (2 missing)</t>
        </is>
      </c>
      <c r="I23" s="155" t="inlineStr">
        <is>
          <t>🟠 NEEDS CLARITY</t>
        </is>
      </c>
      <c r="J23" s="99" t="inlineStr">
        <is>
          <t>Template Assessment:
  Context:     ✗ Missing
  Outcome/DoD: ✓ Present
  Approach:    ✗ Missing
  Desc length: 214 chars
Enrichment available:
  • Granola (meeting notes)</t>
        </is>
      </c>
      <c r="K23"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23" s="157" t="inlineStr">
        <is>
          <t>Context
Monitor creation task — financial-services-grade monitoring post-crisis.
Evidence: Capital had no monitoring when all new loans since October had wrong start dates.
Outcome/Definition of Done
Monitor detects loans in 
waiting
 state &gt; 7 days.
Alert includes loan IDs and duration in waiting status.
Severity is P1/P2.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4" ht="90" customHeight="1" s="44">
      <c r="A24" s="18" t="inlineStr">
        <is>
          <t>Epic: Monitoring &amp; Alerting</t>
        </is>
      </c>
      <c r="B24" s="19" t="inlineStr">
        <is>
          <t>Phase 1</t>
        </is>
      </c>
      <c r="C24" s="29" t="inlineStr">
        <is>
          <t>MFT-1765</t>
        </is>
      </c>
      <c r="D24" s="30" t="inlineStr">
        <is>
          <t>MFT-1765</t>
        </is>
      </c>
      <c r="E24" s="16" t="inlineStr">
        <is>
          <t>create monitor for frf repayment in silent pending</t>
        </is>
      </c>
      <c r="F24" s="100" t="inlineStr">
        <is>
          <t>To DO</t>
        </is>
      </c>
      <c r="G24" s="102" t="inlineStr">
        <is>
          <t>Stanislav Kaychenkov</t>
        </is>
      </c>
      <c r="H24" s="154" t="inlineStr">
        <is>
          <t>Partial (2 missing)</t>
        </is>
      </c>
      <c r="I24" s="155" t="inlineStr">
        <is>
          <t>🟠 NEEDS CLARITY</t>
        </is>
      </c>
      <c r="J24" s="99" t="inlineStr">
        <is>
          <t>Template Assessment:
  Context:     ✗ Missing
  Outcome/DoD: ✓ Present
  Approach:    ✗ Missing
  Desc length: 241 chars
Enrichment available:
  • BigQuery (stuck_repayments)
  • Granola (meeting notes)</t>
        </is>
      </c>
      <c r="K24"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24" s="157" t="inlineStr">
        <is>
          <t>Context
Stuck repayments: 181.6M in 'created' status; 168.9M older than 30 days. No alerts existed. FRF related.
Evidence: BQ: 181.6M stuck repayments; 168.9M &gt;30 days. Meeting: no alerts for loans stuck in status.
BQ confirms stuck repayments at scale: BQ context: 181.6M repayments stuck in 'created' status. FRF repayments may be among those stuck in silent pending — given the period diversity (P1M, P1W, P2W) for installments, FRF-specific stuck repayments are plausible.
Outcome/Definition of Done
Monitor checks repayment status and DD request events.
Alert triggers if 
pending
 &gt; 1 hour and no DD request was created.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5" ht="90" customHeight="1" s="44">
      <c r="A25" s="18" t="inlineStr">
        <is>
          <t>Epic: Monitoring &amp; Alerting</t>
        </is>
      </c>
      <c r="B25" s="19" t="inlineStr">
        <is>
          <t>Phase 1</t>
        </is>
      </c>
      <c r="C25" s="20" t="inlineStr">
        <is>
          <t>MFT-1766</t>
        </is>
      </c>
      <c r="D25" s="21" t="inlineStr">
        <is>
          <t>MFT-1766</t>
        </is>
      </c>
      <c r="E25" s="22" t="inlineStr">
        <is>
          <t>create monitor for missing retry cycle for DD</t>
        </is>
      </c>
      <c r="F25" s="100" t="inlineStr">
        <is>
          <t>To DO</t>
        </is>
      </c>
      <c r="G25" s="101" t="inlineStr">
        <is>
          <t>Stanislav Kaychenkov</t>
        </is>
      </c>
      <c r="H25" s="159" t="inlineStr">
        <is>
          <t>Partial (2 missing)</t>
        </is>
      </c>
      <c r="I25" s="155" t="inlineStr">
        <is>
          <t>🟠 NEEDS CLARITY</t>
        </is>
      </c>
      <c r="J25" s="99" t="inlineStr">
        <is>
          <t>Template Assessment:
  Context:     ✗ Missing
  Outcome/DoD: ✓ Present
  Approach:    ✗ Missing
  Desc length: 234 chars
Enrichment available:
  • BigQuery (stuck_repayments)
  • Granola (meeting notes)</t>
        </is>
      </c>
      <c r="K25"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25" s="157" t="inlineStr">
        <is>
          <t>Context
Stuck repayments — high 'rejected' status count (24.6M in last 30 days) requires investigation and monitoring.
Evidence: BQ: 24.6M rejected repayments in last 30 days; 12.7M in 'created' status.
BQ confirms stuck repayments at scale: BQ context: 168.9M repayments older than 30 days still in 'created' status. Missing retry cycles for DD would explain why these repayments never advance — monitor for missing retry cycles is data-validated.
Outcome/Definition of Done
Monitor detects DD payment failure after first attempt.
Alert triggers if repayment transitions to failed earlier than retry window.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6" ht="90" customHeight="1" s="44">
      <c r="A26" s="18" t="inlineStr">
        <is>
          <t>Epic: Monitoring &amp; Alerting</t>
        </is>
      </c>
      <c r="B26" s="19" t="inlineStr">
        <is>
          <t>Phase 1</t>
        </is>
      </c>
      <c r="C26" s="29" t="inlineStr">
        <is>
          <t>MFT-1767</t>
        </is>
      </c>
      <c r="D26" s="30" t="inlineStr">
        <is>
          <t>MFT-1767</t>
        </is>
      </c>
      <c r="E26" s="16" t="inlineStr">
        <is>
          <t>create monitor for no next payment task for DD</t>
        </is>
      </c>
      <c r="F26" s="100" t="inlineStr">
        <is>
          <t>To DO</t>
        </is>
      </c>
      <c r="G26" s="102" t="inlineStr">
        <is>
          <t>Stanislav Kaychenkov</t>
        </is>
      </c>
      <c r="H26" s="159" t="inlineStr">
        <is>
          <t>Partial (2 missing)</t>
        </is>
      </c>
      <c r="I26" s="155" t="inlineStr">
        <is>
          <t>🟠 NEEDS CLARITY</t>
        </is>
      </c>
      <c r="J26" s="99" t="inlineStr">
        <is>
          <t>Template Assessment:
  Context:     ✗ Missing
  Outcome/DoD: ✓ Present
  Approach:    ✗ Missing
  Desc length: 201 chars
Enrichment available:
  • BigQuery (stuck_repayments)
  • Granola (meeting notes)</t>
        </is>
      </c>
      <c r="K26"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26" s="157" t="inlineStr">
        <is>
          <t>Context
Stuck repayments monitoring — no alerts existed for repayments stuck in processing states.
Evidence: BQ: 181.6M stuck in 'created'; meeting confirmed no alerts for stuck loans.
BQ confirms stuck repayments at scale: BQ context: With 181.6M repayments stuck in 'created', the DD task scheduler is likely not creating 'next payment' tasks for these loans. Monitor for no-next-payment-task is directly validated by stuck repayment volume.
Outcome/Definition of Done
Monitor checks active loans without scheduled next repayment task.
Alert includes loan identifiers.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7" ht="90" customHeight="1" s="44">
      <c r="A27" s="18" t="inlineStr">
        <is>
          <t>Epic: Monitoring &amp; Alerting</t>
        </is>
      </c>
      <c r="B27" s="19" t="inlineStr">
        <is>
          <t>Phase 1</t>
        </is>
      </c>
      <c r="C27" s="20" t="inlineStr">
        <is>
          <t>MFT-1768</t>
        </is>
      </c>
      <c r="D27" s="21" t="inlineStr">
        <is>
          <t>MFT-1768</t>
        </is>
      </c>
      <c r="E27" s="22" t="inlineStr">
        <is>
          <t>create monitor for long pending for repayment</t>
        </is>
      </c>
      <c r="F27" s="100" t="inlineStr">
        <is>
          <t>To DO</t>
        </is>
      </c>
      <c r="G27" s="101" t="inlineStr">
        <is>
          <t>Stanislav Kaychenkov</t>
        </is>
      </c>
      <c r="H27" s="159" t="inlineStr">
        <is>
          <t>Partial (2 missing)</t>
        </is>
      </c>
      <c r="I27" s="155" t="inlineStr">
        <is>
          <t>🟠 NEEDS CLARITY</t>
        </is>
      </c>
      <c r="J27" s="99" t="inlineStr">
        <is>
          <t>Template Assessment:
  Context:     ✗ Missing
  Outcome/DoD: ✓ Present
  Approach:    ✗ Missing
  Desc length: 212 chars
Enrichment available:
  • BigQuery (stuck_repayments)
  • Granola (meeting notes)</t>
        </is>
      </c>
      <c r="K27"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27" s="157" t="inlineStr">
        <is>
          <t>Context
Stuck repayments — part of golden flow monitoring to detect repayments stuck in processing.
Evidence: Meeting: golden flow approach — alert when loans pending &gt;1 day. BQ confirms scale of issue.
BQ confirms stuck repayments at scale: BQ confirms: 181.6M repayments stuck in 'created' status; 168.9M older than 30 days. Monitor for long-pending repayments is validated by this data — threshold should be ~7 days given 178M records older than 7 days.
Outcome/Definition of Done
Monitor detects 
repayment.status == pending
 &gt; 24 hours.
Alert severity is P2.
Alert contains repayment and loan IDs.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8" ht="90" customHeight="1" s="44">
      <c r="A28" s="18" t="inlineStr">
        <is>
          <t>Epic: Monitoring &amp; Alerting</t>
        </is>
      </c>
      <c r="B28" s="19" t="inlineStr">
        <is>
          <t>Phase 1</t>
        </is>
      </c>
      <c r="C28" s="29" t="inlineStr">
        <is>
          <t>MFT-1769</t>
        </is>
      </c>
      <c r="D28" s="30" t="inlineStr">
        <is>
          <t>MFT-1769</t>
        </is>
      </c>
      <c r="E28" s="16" t="inlineStr">
        <is>
          <t>create monitor for no new repayment for active loan</t>
        </is>
      </c>
      <c r="F28" s="100" t="inlineStr">
        <is>
          <t>To DO</t>
        </is>
      </c>
      <c r="G28" s="102" t="inlineStr">
        <is>
          <t>Stanislav Kaychenkov</t>
        </is>
      </c>
      <c r="H28" s="159" t="inlineStr">
        <is>
          <t>Partial (2 missing)</t>
        </is>
      </c>
      <c r="I28" s="155" t="inlineStr">
        <is>
          <t>🟠 NEEDS CLARITY</t>
        </is>
      </c>
      <c r="J28" s="99" t="inlineStr">
        <is>
          <t>Template Assessment:
  Context:     ✗ Missing
  Outcome/DoD: ✓ Present
  Approach:    ✗ Missing
  Desc length: 219 chars
Enrichment available:
  • BigQuery (active_loans_no_repayments)
  • Granola (meeting notes)</t>
        </is>
      </c>
      <c r="K28"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28" s="157" t="inlineStr">
        <is>
          <t>Context
Active loans with no repayments — 8.6M active AED virtual_card loans with 0 repayments in last 30 days. Part of monitoring and reconciliation initiative.
Evidence: BQ confirmed: 8,648,441 active AED virtual_card_installment loans with no repayments last 30 days.
BQ analysis shows loans with no repayment activity: BQ confirms: 8.6M active AED virtual_card_installment loans in Feb 2026 have ZERO repayments in the last 30 days. This validates the need for the 'no new repayment for active loan' monitor — large-scale evidence of active loans not being collected.
Outcome/Definition of Done
Monitor checks creation of new repayments for active loans.
Alert triggers if none created for 7 days.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29" ht="90" customHeight="1" s="44">
      <c r="A29" s="18" t="inlineStr">
        <is>
          <t>Epic: Monitoring &amp; Alerting</t>
        </is>
      </c>
      <c r="B29" s="19" t="inlineStr">
        <is>
          <t>Phase 1</t>
        </is>
      </c>
      <c r="C29" s="20" t="inlineStr">
        <is>
          <t>MFT-1770</t>
        </is>
      </c>
      <c r="D29" s="21" t="inlineStr">
        <is>
          <t>MFT-1770</t>
        </is>
      </c>
      <c r="E29" s="22" t="inlineStr">
        <is>
          <t>create monitor for delayed wallet settlements</t>
        </is>
      </c>
      <c r="F29" s="100" t="inlineStr">
        <is>
          <t>To DO</t>
        </is>
      </c>
      <c r="G29" s="101" t="inlineStr">
        <is>
          <t>Stanislav Kaychenkov</t>
        </is>
      </c>
      <c r="H29" s="159" t="inlineStr">
        <is>
          <t>Partial (2 missing)</t>
        </is>
      </c>
      <c r="I29" s="155" t="inlineStr">
        <is>
          <t>🟠 NEEDS CLARITY</t>
        </is>
      </c>
      <c r="J29" s="99" t="inlineStr">
        <is>
          <t>Template Assessment:
  Context:     ✗ Missing
  Outcome/DoD: ✓ Present
  Approach:    ✗ Missing
  Desc length: 222 chars
Enrichment available:
  • Granola (meeting notes)</t>
        </is>
      </c>
      <c r="K29"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29" s="157" t="inlineStr">
        <is>
          <t>Context
Monitor creation task — part of golden flow framework. All monitoring tasks assigned specific time estimates in meeting (1-4 days each).
Evidence: Meeting: 'repayment anomalies (4 days, Stas), disbursement/activation (3 days), DD integration (2 days), common tech (1 day).'
Outcome/Definition of Done
Monitor checks paid repayments without executed wallet transfers.
Alert triggers if settlement is missing.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0" ht="90" customHeight="1" s="44">
      <c r="A30" s="18" t="inlineStr">
        <is>
          <t>Epic: Monitoring &amp; Alerting</t>
        </is>
      </c>
      <c r="B30" s="19" t="inlineStr">
        <is>
          <t>Phase 1</t>
        </is>
      </c>
      <c r="C30" s="29" t="inlineStr">
        <is>
          <t>MFT-1771</t>
        </is>
      </c>
      <c r="D30" s="30" t="inlineStr">
        <is>
          <t>MFT-1771</t>
        </is>
      </c>
      <c r="E30" s="16" t="inlineStr">
        <is>
          <t>create monitor for money transfer not executed</t>
        </is>
      </c>
      <c r="F30" s="100" t="inlineStr">
        <is>
          <t>To DO</t>
        </is>
      </c>
      <c r="G30" s="102" t="inlineStr">
        <is>
          <t>Stanislav Kaychenkov</t>
        </is>
      </c>
      <c r="H30" s="159" t="inlineStr">
        <is>
          <t>Partial (2 missing)</t>
        </is>
      </c>
      <c r="I30" s="155" t="inlineStr">
        <is>
          <t>🟠 NEEDS CLARITY</t>
        </is>
      </c>
      <c r="J30" s="99" t="inlineStr">
        <is>
          <t>Template Assessment:
  Context:     ✗ Missing
  Outcome/DoD: ✓ Present
  Approach:    ✗ Missing
  Desc length: 207 chars
Enrichment available:
  • Granola (meeting notes)</t>
        </is>
      </c>
      <c r="K30"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30" s="157" t="inlineStr">
        <is>
          <t>Context
Monitor creation task — part of golden flow monitoring framework.
Evidence: CTO demanded: automated reconciliation hourly, financial services-grade QA, no releases without QA model.
Outcome/Definition of Done
Monitor tracks wallet transfer execution timestamps.
Alert triggers if transfer is pending &gt; 24 hours.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1" ht="90" customHeight="1" s="44">
      <c r="A31" s="18" t="inlineStr">
        <is>
          <t>Epic: Monitoring &amp; Alerting</t>
        </is>
      </c>
      <c r="B31" s="19" t="inlineStr">
        <is>
          <t>Phase 1</t>
        </is>
      </c>
      <c r="C31" s="20" t="inlineStr">
        <is>
          <t>MFT-1772</t>
        </is>
      </c>
      <c r="D31" s="21" t="inlineStr">
        <is>
          <t>MFT-1772</t>
        </is>
      </c>
      <c r="E31" s="22" t="inlineStr">
        <is>
          <t>create monitor for few payout in same day</t>
        </is>
      </c>
      <c r="F31" s="100" t="inlineStr">
        <is>
          <t>To DO</t>
        </is>
      </c>
      <c r="G31" s="101" t="inlineStr">
        <is>
          <t>Stanislav Kaychenkov</t>
        </is>
      </c>
      <c r="H31" s="159" t="inlineStr">
        <is>
          <t>Partial (2 missing)</t>
        </is>
      </c>
      <c r="I31" s="155" t="inlineStr">
        <is>
          <t>🟠 NEEDS CLARITY</t>
        </is>
      </c>
      <c r="J31" s="99" t="inlineStr">
        <is>
          <t>Template Assessment:
  Context:     ✗ Missing
  Outcome/DoD: ✓ Present
  Approach:    ✗ Missing
  Desc length: 221 chars
Enrichment available:
  • Granola (meeting notes)</t>
        </is>
      </c>
      <c r="K31"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31" s="157" t="inlineStr">
        <is>
          <t>Context
Monitor creation task — part of Capital stability monitoring buildout post-CTO crisis Feb 2026.
Evidence: Team acknowledged monitoring was reactive not proactive; no alerts existed.
Outcome/Definition of Done
Monitor detects more than one payout per merchant per day.
Alert includes merchant ID and payout IDs.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2" ht="90" customHeight="1" s="44">
      <c r="A32" s="18" t="inlineStr">
        <is>
          <t>Epic: Monitoring &amp; Alerting</t>
        </is>
      </c>
      <c r="B32" s="19" t="inlineStr">
        <is>
          <t>Phase 1</t>
        </is>
      </c>
      <c r="C32" s="29" t="inlineStr">
        <is>
          <t>MFT-1773</t>
        </is>
      </c>
      <c r="D32" s="30" t="inlineStr">
        <is>
          <t>MFT-1773</t>
        </is>
      </c>
      <c r="E32" s="16" t="inlineStr">
        <is>
          <t>create monitor for no new payouts 24h</t>
        </is>
      </c>
      <c r="F32" s="100" t="inlineStr">
        <is>
          <t>To DO</t>
        </is>
      </c>
      <c r="G32" s="102" t="inlineStr">
        <is>
          <t>Stanislav Kaychenkov</t>
        </is>
      </c>
      <c r="H32" s="159" t="inlineStr">
        <is>
          <t>Partial (2 missing)</t>
        </is>
      </c>
      <c r="I32" s="155" t="inlineStr">
        <is>
          <t>🟠 NEEDS CLARITY</t>
        </is>
      </c>
      <c r="J32" s="99" t="inlineStr">
        <is>
          <t>Template Assessment:
  Context:     ✗ Missing
  Outcome/DoD: ✓ Present
  Approach:    ✗ Missing
  Desc length: 234 chars
Enrichment available:
  • Granola (meeting notes)</t>
        </is>
      </c>
      <c r="K32"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32" s="157" t="inlineStr">
        <is>
          <t>Context
Monitor creation task — part of golden flow monitoring framework demanded by CTO.
Evidence: 190 loan mismatches, extreme examples 10x discrepancy, found only through manual reconciliation.
Outcome/Definition of Done
Monitor tracks BNPL payout creation events.
Alert triggers if no payouts for &gt; 24 hours (excluding weekends).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3" ht="90" customHeight="1" s="44">
      <c r="A33" s="18" t="inlineStr">
        <is>
          <t>Epic: Monitoring &amp; Alerting</t>
        </is>
      </c>
      <c r="B33" s="19" t="inlineStr">
        <is>
          <t>Phase 1</t>
        </is>
      </c>
      <c r="C33" s="20" t="inlineStr">
        <is>
          <t>MFT-1774</t>
        </is>
      </c>
      <c r="D33" s="21" t="inlineStr">
        <is>
          <t>MFT-1774</t>
        </is>
      </c>
      <c r="E33" s="22" t="inlineStr">
        <is>
          <t>create monitor for repayment report not created</t>
        </is>
      </c>
      <c r="F33" s="100" t="inlineStr">
        <is>
          <t>To DO</t>
        </is>
      </c>
      <c r="G33" s="101" t="inlineStr">
        <is>
          <t>Vladislav Nikolaev</t>
        </is>
      </c>
      <c r="H33" s="159" t="inlineStr">
        <is>
          <t>Partial (2 missing)</t>
        </is>
      </c>
      <c r="I33" s="155" t="inlineStr">
        <is>
          <t>🟠 NEEDS CLARITY</t>
        </is>
      </c>
      <c r="J33" s="99" t="inlineStr">
        <is>
          <t>Template Assessment:
  Context:     ✗ Missing
  Outcome/DoD: ✓ Present
  Approach:    ✗ Missing
  Desc length: 237 chars
Enrichment available:
  • Granola (meeting notes)</t>
        </is>
      </c>
      <c r="K33"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33" s="157" t="inlineStr">
        <is>
          <t>Context
Monitor creation task — part of systematic monitoring buildout.
Evidence: Issues undetected for months due to lack of monitoring — CTO crisis response.
Outcome/Definition of Done
Monitor checks repayment report file generation.
Alert triggers if file is missing &gt; 24 hours.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4" ht="90" customHeight="1" s="44">
      <c r="A34" s="18" t="inlineStr">
        <is>
          <t>Epic: Monitoring &amp; Alerting</t>
        </is>
      </c>
      <c r="B34" s="19" t="inlineStr">
        <is>
          <t>Phase 1</t>
        </is>
      </c>
      <c r="C34" s="29" t="inlineStr">
        <is>
          <t>MFT-1775</t>
        </is>
      </c>
      <c r="D34" s="30" t="inlineStr">
        <is>
          <t>MFT-1775</t>
        </is>
      </c>
      <c r="E34" s="16" t="inlineStr">
        <is>
          <t>create monitor for disbursement approval missed</t>
        </is>
      </c>
      <c r="F34" s="100" t="inlineStr">
        <is>
          <t>To DO</t>
        </is>
      </c>
      <c r="G34" s="102" t="inlineStr">
        <is>
          <t>Vladislav Nikolaev</t>
        </is>
      </c>
      <c r="H34" s="159" t="inlineStr">
        <is>
          <t>Partial (2 missing)</t>
        </is>
      </c>
      <c r="I34" s="155" t="inlineStr">
        <is>
          <t>🟠 NEEDS CLARITY</t>
        </is>
      </c>
      <c r="J34" s="99" t="inlineStr">
        <is>
          <t>Template Assessment:
  Context:     ✗ Missing
  Outcome/DoD: ✓ Present
  Approach:    ✗ Missing
  Desc length: 224 chars
Enrichment available:
  • Granola (meeting notes)</t>
        </is>
      </c>
      <c r="K34"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34" s="157" t="inlineStr">
        <is>
          <t>Context
Monitor creation task — financial-services-grade monitoring.
Evidence: Meeting: 'Table stakes requirement — cannot scale without monitoring.'
Outcome/Definition of Done
Monitor tracks approval request events/files.
Alert triggers if none received for 3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5" ht="90" customHeight="1" s="44">
      <c r="A35" s="18" t="inlineStr">
        <is>
          <t>Epic: Monitoring &amp; Alerting</t>
        </is>
      </c>
      <c r="B35" s="19" t="inlineStr">
        <is>
          <t>Phase 1</t>
        </is>
      </c>
      <c r="C35" s="20" t="inlineStr">
        <is>
          <t>MFT-1776</t>
        </is>
      </c>
      <c r="D35" s="21" t="inlineStr">
        <is>
          <t>MFT-1776</t>
        </is>
      </c>
      <c r="E35" s="22" t="inlineStr">
        <is>
          <t>create monitor for misalignment disbursement</t>
        </is>
      </c>
      <c r="F35" s="100" t="inlineStr">
        <is>
          <t>To DO</t>
        </is>
      </c>
      <c r="G35" s="101" t="inlineStr">
        <is>
          <t>Vladislav Nikolaev</t>
        </is>
      </c>
      <c r="H35" s="159" t="inlineStr">
        <is>
          <t>Partial (2 missing)</t>
        </is>
      </c>
      <c r="I35" s="155" t="inlineStr">
        <is>
          <t>🟠 NEEDS CLARITY</t>
        </is>
      </c>
      <c r="J35" s="99" t="inlineStr">
        <is>
          <t>Template Assessment:
  Context:     ✗ Missing
  Outcome/DoD: ✓ Present
  Approach:    ✗ Missing
  Desc length: 202 chars
Enrichment available:
  • Granola (meeting notes)</t>
        </is>
      </c>
      <c r="K35"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35" s="157" t="inlineStr">
        <is>
          <t>Context
Monitor creation task — part of golden flow monitoring framework.
Evidence: All monitoring tasks are part of OKR restructuring post-crisis: billing SoT, mandatory QA gatekeeping, alert systems.
Outcome/Definition of Done
Monitor validates loan existence, amount, and start date.
Alert triggers on any mismatch.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6" ht="90" customHeight="1" s="44">
      <c r="A36" s="18" t="inlineStr">
        <is>
          <t>Epic: Monitoring &amp; Alerting</t>
        </is>
      </c>
      <c r="B36" s="19" t="inlineStr">
        <is>
          <t>Phase 1</t>
        </is>
      </c>
      <c r="C36" s="29" t="inlineStr">
        <is>
          <t>MFT-1777</t>
        </is>
      </c>
      <c r="D36" s="30" t="inlineStr">
        <is>
          <t>MFT-1777</t>
        </is>
      </c>
      <c r="E36" s="16" t="inlineStr">
        <is>
          <t>create monitor for loan stalled</t>
        </is>
      </c>
      <c r="F36" s="100" t="inlineStr">
        <is>
          <t>To DO</t>
        </is>
      </c>
      <c r="G36" s="102" t="inlineStr">
        <is>
          <t>Vladislav Nikolaev</t>
        </is>
      </c>
      <c r="H36" s="159" t="inlineStr">
        <is>
          <t>Partial (2 missing)</t>
        </is>
      </c>
      <c r="I36" s="155" t="inlineStr">
        <is>
          <t>🟠 NEEDS CLARITY</t>
        </is>
      </c>
      <c r="J36" s="99" t="inlineStr">
        <is>
          <t>Template Assessment:
  Context:     ✗ Missing
  Outcome/DoD: ✓ Present
  Approach:    ✗ Missing
  Desc length: 234 chars
Enrichment available:
  • Granola (meeting notes)</t>
        </is>
      </c>
      <c r="K36"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36" s="157" t="inlineStr">
        <is>
          <t>Context
Monitor creation task — part of Capital stability initiative post-red card incident Feb 2026.
Evidence: No alerts for loans stuck in status for days — confirmed in meeting notes.
Outcome/Definition of Done
Monitor tracks time between loan creation and approval receipt.
Alert triggers if approval missing &gt; 2 days.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7" ht="90" customHeight="1" s="44">
      <c r="A37" s="18" t="inlineStr">
        <is>
          <t>Epic: Monitoring &amp; Alerting</t>
        </is>
      </c>
      <c r="B37" s="19" t="inlineStr">
        <is>
          <t>Phase 1</t>
        </is>
      </c>
      <c r="C37" s="20" t="inlineStr">
        <is>
          <t>MFT-1778</t>
        </is>
      </c>
      <c r="D37" s="21" t="inlineStr">
        <is>
          <t>MFT-1778</t>
        </is>
      </c>
      <c r="E37" s="22" t="inlineStr">
        <is>
          <t>create monitor for api integration broken</t>
        </is>
      </c>
      <c r="F37" s="100" t="inlineStr">
        <is>
          <t>To DO</t>
        </is>
      </c>
      <c r="G37" s="101" t="inlineStr">
        <is>
          <t>Vladislav Nikolaev</t>
        </is>
      </c>
      <c r="H37" s="159" t="inlineStr">
        <is>
          <t>Partial (2 missing)</t>
        </is>
      </c>
      <c r="I37" s="155" t="inlineStr">
        <is>
          <t>🟠 NEEDS CLARITY</t>
        </is>
      </c>
      <c r="J37" s="99" t="inlineStr">
        <is>
          <t>Template Assessment:
  Context:     ✗ Missing
  Outcome/DoD: ✓ Present
  Approach:    ✗ Missing
  Desc length: 195 chars
Enrichment available:
  • Granola (meeting notes)</t>
        </is>
      </c>
      <c r="K37"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37" s="157" t="inlineStr">
        <is>
          <t>Context
Monitor creation task — part of golden flow monitoring buildout.
Evidence: Meeting: 'golden flow monitoring approach: alert when loans pending &gt;1 day.'
Outcome/Definition of Done
Monitor tracks API call activity.
Alert triggers if no calls for &gt; 24 hours.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8" ht="90" customHeight="1" s="44">
      <c r="A38" s="18" t="inlineStr">
        <is>
          <t>Epic: Monitoring &amp; Alerting</t>
        </is>
      </c>
      <c r="B38" s="19" t="inlineStr">
        <is>
          <t>Phase 1</t>
        </is>
      </c>
      <c r="C38" s="29" t="inlineStr">
        <is>
          <t>MFT-1779</t>
        </is>
      </c>
      <c r="D38" s="30" t="inlineStr">
        <is>
          <t>MFT-1779</t>
        </is>
      </c>
      <c r="E38" s="16" t="inlineStr">
        <is>
          <t>Fix the rest of discrepancies that were found by checker</t>
        </is>
      </c>
      <c r="F38" s="107" t="inlineStr">
        <is>
          <t>Ready for release</t>
        </is>
      </c>
      <c r="G38" s="102" t="inlineStr">
        <is>
          <t>Evgenii Tumanovskii</t>
        </is>
      </c>
      <c r="H38" s="154" t="inlineStr">
        <is>
          <t>Partial (1 missing)</t>
        </is>
      </c>
      <c r="I38" s="155" t="inlineStr">
        <is>
          <t>🟠 NEEDS CLARITY</t>
        </is>
      </c>
      <c r="J38" s="99" t="inlineStr">
        <is>
          <t>Template Assessment:
  Context:     ✗ Missing
  Outcome/DoD: ✓ Present
  Approach:    ✓ Present
  Desc length: 1670 chars
Enrichment available:
  • Granola (meeting notes)</t>
        </is>
      </c>
      <c r="K38" s="156" t="inlineStr">
        <is>
          <t>Add the following to the Jira description:
• CONTEXT — Why is this task needed?
  Explain the incident/problem that triggered this work.
  Link to the red card incident (Feb 2026), CTO mandate, or specific BQ data.</t>
        </is>
      </c>
      <c r="L38" s="157" t="inlineStr">
        <is>
          <t>Context
Monitor creation task — part of comprehensive monitoring plan.
Evidence: Meeting notes confirmed information only in staff memory, not documented.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39" ht="90" customHeight="1" s="44">
      <c r="A39" s="18" t="inlineStr">
        <is>
          <t>Epic: Monitoring &amp; Alerting</t>
        </is>
      </c>
      <c r="B39" s="19" t="inlineStr">
        <is>
          <t>Phase 1</t>
        </is>
      </c>
      <c r="C39" s="20" t="inlineStr">
        <is>
          <t>MFT-1780</t>
        </is>
      </c>
      <c r="D39" s="21" t="inlineStr">
        <is>
          <t>MFT-1780</t>
        </is>
      </c>
      <c r="E39" s="22" t="inlineStr">
        <is>
          <t>create monitor for repayment request file not created</t>
        </is>
      </c>
      <c r="F39" s="100" t="inlineStr">
        <is>
          <t>To DO</t>
        </is>
      </c>
      <c r="G39" s="101" t="inlineStr">
        <is>
          <t>Vladislav Nikolaev</t>
        </is>
      </c>
      <c r="H39" s="159" t="inlineStr">
        <is>
          <t>Partial (2 missing)</t>
        </is>
      </c>
      <c r="I39" s="155" t="inlineStr">
        <is>
          <t>🟠 NEEDS CLARITY</t>
        </is>
      </c>
      <c r="J39" s="99" t="inlineStr">
        <is>
          <t>Template Assessment:
  Context:     ✗ Missing
  Outcome/DoD: ✓ Present
  Approach:    ✗ Missing
  Desc length: 218 chars
Enrichment available:
  • Granola (meeting notes)</t>
        </is>
      </c>
      <c r="K39"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39" s="157" t="inlineStr">
        <is>
          <t>Context
Monitor creation task — financial-services-grade monitoring demanded by CTO.
Evidence: CTO demanded: automated reconciliation hourly, financial services-grade QA.
Outcome/Definition of Done
Monitor checks DD file generation.
Alert triggers if file is missing &gt; 24 hours.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0" ht="90" customHeight="1" s="44">
      <c r="A40" s="18" t="inlineStr">
        <is>
          <t>Epic: Monitoring &amp; Alerting</t>
        </is>
      </c>
      <c r="B40" s="19" t="inlineStr">
        <is>
          <t>Phase 1</t>
        </is>
      </c>
      <c r="C40" s="29" t="inlineStr">
        <is>
          <t>MFT-1781</t>
        </is>
      </c>
      <c r="D40" s="30" t="inlineStr">
        <is>
          <t>MFT-1781</t>
        </is>
      </c>
      <c r="E40" s="16" t="inlineStr">
        <is>
          <t>create monitor for no new mandates</t>
        </is>
      </c>
      <c r="F40" s="100" t="inlineStr">
        <is>
          <t>To DO</t>
        </is>
      </c>
      <c r="G40" s="102" t="inlineStr">
        <is>
          <t>Vladislav Nikolaev</t>
        </is>
      </c>
      <c r="H40" s="159" t="inlineStr">
        <is>
          <t>Partial (2 missing)</t>
        </is>
      </c>
      <c r="I40" s="155" t="inlineStr">
        <is>
          <t>🟠 NEEDS CLARITY</t>
        </is>
      </c>
      <c r="J40" s="99" t="inlineStr">
        <is>
          <t>Template Assessment:
  Context:     ✗ Missing
  Outcome/DoD: ✓ Present
  Approach:    ✗ Missing
  Desc length: 197 chars
Enrichment available:
  • Granola (meeting notes)</t>
        </is>
      </c>
      <c r="K40"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40" s="157" t="inlineStr">
        <is>
          <t>Context
Monitor creation task — part of golden flow framework.
Evidence: Red card incident Feb 2026 triggered CTO intervention and monitoring mandate.
Outcome/Definition of Done
Monitor tracks authorized mandates.
Alert triggers if no new mandates for 3 days.
Severity is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1" ht="90" customHeight="1" s="44">
      <c r="A41" s="18" t="inlineStr">
        <is>
          <t>Epic: Monitoring &amp; Alerting</t>
        </is>
      </c>
      <c r="B41" s="19" t="inlineStr">
        <is>
          <t>Phase 1</t>
        </is>
      </c>
      <c r="C41" s="20" t="inlineStr">
        <is>
          <t>MFT-1782</t>
        </is>
      </c>
      <c r="D41" s="21" t="inlineStr">
        <is>
          <t>MFT-1782</t>
        </is>
      </c>
      <c r="E41" s="22" t="inlineStr">
        <is>
          <t>create monitor for reconciliation script broken</t>
        </is>
      </c>
      <c r="F41" s="100" t="inlineStr">
        <is>
          <t>To DO</t>
        </is>
      </c>
      <c r="G41" s="101" t="inlineStr">
        <is>
          <t>Stanislav Kaychenkov</t>
        </is>
      </c>
      <c r="H41" s="159" t="inlineStr">
        <is>
          <t>Partial (2 missing)</t>
        </is>
      </c>
      <c r="I41" s="155" t="inlineStr">
        <is>
          <t>🟠 NEEDS CLARITY</t>
        </is>
      </c>
      <c r="J41" s="99" t="inlineStr">
        <is>
          <t>Template Assessment:
  Context:     ✗ Missing
  Outcome/DoD: ✓ Present
  Approach:    ✗ Missing
  Desc length: 205 chars
Enrichment available:
  • Granola (meeting notes)</t>
        </is>
      </c>
      <c r="K41"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41" s="157" t="inlineStr">
        <is>
          <t>Context
Reconciliation + monitoring: 43/190 loan mismatches had Capital vs Billing discrepancies. Monitor must detect these automatically.
Evidence: Reconciliation checker job (Jenya): run on prod, fix until clean, convert to hourly/daily automated job.
Outcome/Definition of Done
Monitor tracks reconciliation job executions.
Alert triggers if no execution for &gt; 24 hours.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2" ht="90" customHeight="1" s="44">
      <c r="A42" s="18" t="inlineStr">
        <is>
          <t>Epic: Monitoring &amp; Alerting</t>
        </is>
      </c>
      <c r="B42" s="19" t="inlineStr">
        <is>
          <t>Phase 1</t>
        </is>
      </c>
      <c r="C42" s="29" t="inlineStr">
        <is>
          <t>MFT-1783</t>
        </is>
      </c>
      <c r="D42" s="30" t="inlineStr">
        <is>
          <t>MFT-1783</t>
        </is>
      </c>
      <c r="E42" s="16" t="inlineStr">
        <is>
          <t>create monitor for no new repayments</t>
        </is>
      </c>
      <c r="F42" s="100" t="inlineStr">
        <is>
          <t>To DO</t>
        </is>
      </c>
      <c r="G42" s="102" t="inlineStr">
        <is>
          <t>Stanislav Kaychenkov</t>
        </is>
      </c>
      <c r="H42" s="159" t="inlineStr">
        <is>
          <t>Partial (2 missing)</t>
        </is>
      </c>
      <c r="I42" s="155" t="inlineStr">
        <is>
          <t>🟠 NEEDS CLARITY</t>
        </is>
      </c>
      <c r="J42" s="99" t="inlineStr">
        <is>
          <t>Template Assessment:
  Context:     ✗ Missing
  Outcome/DoD: ✓ Present
  Approach:    ✗ Missing
  Desc length: 219 chars
Enrichment available:
  • BigQuery (stuck_repayments)
  • Granola (meeting notes)</t>
        </is>
      </c>
      <c r="K42"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42" s="157" t="inlineStr">
        <is>
          <t>Context
Stuck repayments monitor: 181.6M in 'created' status; 168.9M older than 30 days. No alerts existed for this.
Evidence: BQ confirmed 181.6M stuck repayments older than 30 days with no alert system.
BQ confirms stuck repayments at scale: BQ confirms: Repayment creation is broken at scale — 181.6M repayments stuck in 'created' status (non-recurring), suggesting systemic DD repayment initiation failures. Monitor for 'no new repayments' is urgently needed.
Outcome/Definition of Done
Monitor tracks repayment creation events globally.
Alert triggers if no repayments for &gt; 24 hours.
Severity is P1.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3" ht="90" customHeight="1" s="44">
      <c r="A43" s="18" t="inlineStr">
        <is>
          <t>Epic: Monitoring &amp; Alerting</t>
        </is>
      </c>
      <c r="B43" s="19" t="inlineStr">
        <is>
          <t>Phase 1</t>
        </is>
      </c>
      <c r="C43" s="20" t="inlineStr">
        <is>
          <t>MFT-1784</t>
        </is>
      </c>
      <c r="D43" s="21" t="inlineStr">
        <is>
          <t>MFT-1784</t>
        </is>
      </c>
      <c r="E43" s="22" t="inlineStr">
        <is>
          <t>Fix mistake for 1 specific loan that was done during last migration</t>
        </is>
      </c>
      <c r="F43" s="100" t="inlineStr">
        <is>
          <t>To DO</t>
        </is>
      </c>
      <c r="G43" s="101" t="inlineStr">
        <is>
          <t>Evgenii Tumanovskii</t>
        </is>
      </c>
      <c r="H43" s="154" t="inlineStr">
        <is>
          <t>Partial (1 missing)</t>
        </is>
      </c>
      <c r="I43" s="155" t="inlineStr">
        <is>
          <t>🟠 NEEDS CLARITY</t>
        </is>
      </c>
      <c r="J43" s="99" t="inlineStr">
        <is>
          <t>Template Assessment:
  Context:     ✗ Missing
  Outcome/DoD: ✓ Present
  Approach:    ✓ Present
  Desc length: 600 chars
Enrichment available:
  • Granola (meeting notes)</t>
        </is>
      </c>
      <c r="K43" s="156" t="inlineStr">
        <is>
          <t>Add the following to the Jira description:
• CONTEXT — Why is this task needed?
  Explain the incident/problem that triggered this work.
  Link to the red card incident (Feb 2026), CTO mandate, or specific BQ data.</t>
        </is>
      </c>
      <c r="L43" s="157" t="inlineStr">
        <is>
          <t>Context
Monitor creation task — part of comprehensive monitoring buildout. Financial services require proactive not reactive monitoring.
Evidence: Meeting: 'No automated reconciliation, no alerts, manual processes' — root cause of crisis.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44" ht="90" customHeight="1" s="44">
      <c r="A44" s="35" t="inlineStr">
        <is>
          <t>Epic: Reconciliation &amp; Data Integrity</t>
        </is>
      </c>
      <c r="B44" s="36" t="inlineStr">
        <is>
          <t>Phase 2</t>
        </is>
      </c>
      <c r="C44" s="29" t="inlineStr">
        <is>
          <t>MFT-1690</t>
        </is>
      </c>
      <c r="D44" s="30" t="inlineStr">
        <is>
          <t>MFT-1690</t>
        </is>
      </c>
      <c r="E44" s="16" t="inlineStr">
        <is>
          <t>GetLoans Pagination</t>
        </is>
      </c>
      <c r="F44" s="100" t="inlineStr">
        <is>
          <t>To DO</t>
        </is>
      </c>
      <c r="G44" s="102" t="inlineStr">
        <is>
          <t>Nikola Lukic</t>
        </is>
      </c>
      <c r="H44" s="160" t="inlineStr">
        <is>
          <t>Partial (2 missing)</t>
        </is>
      </c>
      <c r="I44" s="161" t="inlineStr">
        <is>
          <t>🟠 NEEDS CLARITY</t>
        </is>
      </c>
      <c r="J44" s="75" t="inlineStr">
        <is>
          <t>Template Assessment:
  Context:     ✗ Missing
  Outcome/DoD: ✓ Present
  Approach:    ✗ Missing
  Desc length: 154 chars
No external enrichment found — enrich from Jira description.</t>
        </is>
      </c>
      <c r="K44" s="71"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44" s="72"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API response time &lt; 500ms for all paginated calls.
• No timeout errors under normal load.
• Pagination tested with &gt;1000 records.
Approach
• Identify the endpoint / handler causing the volume issue
• Implement cursor-based or offset pagination with configurable page size
• Add pagination metadata to response (total count, next cursor)
• Load test with &gt;1000 records; verify response time &lt; 500ms
• Update API consumer (backoffice / admin) to handle paginated responses</t>
        </is>
      </c>
    </row>
    <row r="45" ht="120" customHeight="1" s="44">
      <c r="A45" s="35" t="inlineStr">
        <is>
          <t>Epic: Reconciliation &amp; Data Integrity</t>
        </is>
      </c>
      <c r="B45" s="36" t="inlineStr">
        <is>
          <t>Phase 2</t>
        </is>
      </c>
      <c r="C45" s="20" t="inlineStr">
        <is>
          <t>MFT-1698</t>
        </is>
      </c>
      <c r="D45" s="21" t="inlineStr">
        <is>
          <t>MFT-1698</t>
        </is>
      </c>
      <c r="E45" s="22" t="inlineStr">
        <is>
          <t>Delete fixed repayments</t>
        </is>
      </c>
      <c r="F45" s="100" t="inlineStr">
        <is>
          <t>To DO</t>
        </is>
      </c>
      <c r="G45" s="101" t="inlineStr">
        <is>
          <t>Evgenii Tumanovskii</t>
        </is>
      </c>
      <c r="H45" s="162" t="inlineStr">
        <is>
          <t>✗ All missing</t>
        </is>
      </c>
      <c r="I45" s="155" t="inlineStr">
        <is>
          <t>🟠 NEEDS CLARITY</t>
        </is>
      </c>
      <c r="J45" s="99" t="inlineStr">
        <is>
          <t>Template Assessment:
  Context:     ✗ Missing
  Outcome/DoD: ✗ Missing
  Approach:    ✗ Missing
  Desc length: 27 chars
No external enrichment found — enrich from Jira description.</t>
        </is>
      </c>
      <c r="K45"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45"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Implementation of "Delete fixed repayments"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46" ht="90" customHeight="1" s="44">
      <c r="A46" s="35" t="inlineStr">
        <is>
          <t>Epic: Reconciliation &amp; Data Integrity</t>
        </is>
      </c>
      <c r="B46" s="36" t="inlineStr">
        <is>
          <t>Phase 2</t>
        </is>
      </c>
      <c r="C46" s="29" t="inlineStr">
        <is>
          <t>MFT-1801</t>
        </is>
      </c>
      <c r="D46" s="30" t="inlineStr">
        <is>
          <t>MFT-1801</t>
        </is>
      </c>
      <c r="E46" s="16" t="inlineStr">
        <is>
          <t>Add table to save data from BS</t>
        </is>
      </c>
      <c r="F46" s="100" t="inlineStr">
        <is>
          <t>To DO</t>
        </is>
      </c>
      <c r="G46" s="102" t="inlineStr">
        <is>
          <t>Nikola Lukic</t>
        </is>
      </c>
      <c r="H46" s="158" t="inlineStr">
        <is>
          <t>✗ All missing</t>
        </is>
      </c>
      <c r="I46" s="155" t="inlineStr">
        <is>
          <t>🟠 NEEDS CLARITY</t>
        </is>
      </c>
      <c r="J46" s="99" t="inlineStr">
        <is>
          <t>Template Assessment:
  Context:     ✗ Missing
  Outcome/DoD: ✗ Missing
  Approach:    ✗ Missing
Enrichment available:
  • Granola (meeting notes)</t>
        </is>
      </c>
      <c r="K46"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46" s="157" t="inlineStr">
        <is>
          <t>Context
Reconciliation task — part of post-crisis automated reconciliation framework.
Evidence: 190 loan mismatches, extreme 10x discrepancy examples. Automated hourly reconciliation required.
Outcome/Definition of Done
• Reconciliation job runs on schedule and flags all mismatches.
• Zero undetected discrepancies in a 7-day staging run.
• Alerts fire on mismatch &gt; threshold; report delivered to data channel.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47" ht="90" customHeight="1" s="44">
      <c r="A47" s="35" t="inlineStr">
        <is>
          <t>Epic: Reconciliation &amp; Data Integrity</t>
        </is>
      </c>
      <c r="B47" s="36" t="inlineStr">
        <is>
          <t>Phase 2</t>
        </is>
      </c>
      <c r="C47" s="20" t="inlineStr">
        <is>
          <t>MFT-1718</t>
        </is>
      </c>
      <c r="D47" s="21" t="inlineStr">
        <is>
          <t>MFT-1718</t>
        </is>
      </c>
      <c r="E47" s="22" t="inlineStr">
        <is>
          <t>Resolve conflicts of automated and manual dd repayments in the same day</t>
        </is>
      </c>
      <c r="F47" s="100" t="inlineStr">
        <is>
          <t>To DO</t>
        </is>
      </c>
      <c r="G47" s="101" t="inlineStr">
        <is>
          <t>szymon.giermakowski</t>
        </is>
      </c>
      <c r="H47" s="154" t="inlineStr">
        <is>
          <t>Partial (2 missing)</t>
        </is>
      </c>
      <c r="I47" s="155" t="inlineStr">
        <is>
          <t>🟠 NEEDS CLARITY</t>
        </is>
      </c>
      <c r="J47" s="99" t="inlineStr">
        <is>
          <t>Template Assessment:
  Context:     ✓ Present
  Outcome/DoD: ✗ Missing
  Approach:    ✗ Missing
  Desc length: 1172 chars
No external enrichment found — enrich from Jira description.</t>
        </is>
      </c>
      <c r="K47" s="156" t="inlineStr">
        <is>
          <t>Add the following to the Jira description: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47" s="157" t="inlineStr">
        <is>
          <t>Context
Automated dd payments are created by capital service one time per week at 12:00 UTC time
Schedule is linked to disbursed date and payment usually happen every Monday, Tuesday and so on (constant week day)
Direct-debit service support only one payment per day for one mandate
Sometime Co
Outcome/Definition of Done
• Implementation of "Resolve conflicts of automated and manual dd repayments in the same day"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48" ht="90" customHeight="1" s="44">
      <c r="A48" s="35" t="inlineStr">
        <is>
          <t>Epic: Reconciliation &amp; Data Integrity</t>
        </is>
      </c>
      <c r="B48" s="36" t="inlineStr">
        <is>
          <t>Phase 2</t>
        </is>
      </c>
      <c r="C48" s="29" t="inlineStr">
        <is>
          <t>MFT-1694</t>
        </is>
      </c>
      <c r="D48" s="30" t="inlineStr">
        <is>
          <t>MFT-1694</t>
        </is>
      </c>
      <c r="E48" s="16" t="inlineStr">
        <is>
          <t>Fix dd payments display</t>
        </is>
      </c>
      <c r="F48" s="100" t="inlineStr">
        <is>
          <t>To DO</t>
        </is>
      </c>
      <c r="G48" s="102" t="inlineStr">
        <is>
          <t>Nikola Lukic</t>
        </is>
      </c>
      <c r="H48" s="154" t="inlineStr">
        <is>
          <t>Partial (1 missing)</t>
        </is>
      </c>
      <c r="I48" s="155" t="inlineStr">
        <is>
          <t>🟠 NEEDS CLARITY</t>
        </is>
      </c>
      <c r="J48" s="99" t="inlineStr">
        <is>
          <t>Template Assessment:
  Context:     ✗ Missing
  Outcome/DoD: ✓ Present
  Approach:    ✓ Present
  Desc length: 256 chars
No external enrichment found — enrich from Jira description.</t>
        </is>
      </c>
      <c r="K48" s="156" t="inlineStr">
        <is>
          <t>Add the following to the Jira description:
• CONTEXT — Why is this task needed?
  Explain the incident/problem that triggered this work.
  Link to the red card incident (Feb 2026), CTO mandate, or specific BQ data.</t>
        </is>
      </c>
      <c r="L48"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Implementation of "Fix dd payments display" is complete and deployed.
• Automated test coverage added for the new behaviour.
• No regression in related functionality; confirmed in staging.
Approach
• Identify the relevant backoffice view / API endpoint to update
• Add the required data fields to the API response
• Update backoffice UI to display the new fields
• Validate displayed values against BQ source data
• Test with real loan data across product types</t>
        </is>
      </c>
    </row>
    <row r="49" ht="90" customHeight="1" s="44">
      <c r="A49" s="35" t="inlineStr">
        <is>
          <t>Epic: Reconciliation &amp; Data Integrity</t>
        </is>
      </c>
      <c r="B49" s="36" t="inlineStr">
        <is>
          <t>Phase 2</t>
        </is>
      </c>
      <c r="C49" s="20" t="inlineStr">
        <is>
          <t>MFT-1691</t>
        </is>
      </c>
      <c r="D49" s="21" t="inlineStr">
        <is>
          <t>MFT-1691</t>
        </is>
      </c>
      <c r="E49" s="22" t="inlineStr">
        <is>
          <t>Create an alert for stuck dd repayments</t>
        </is>
      </c>
      <c r="F49" s="107" t="inlineStr">
        <is>
          <t>Done</t>
        </is>
      </c>
      <c r="G49" s="101" t="inlineStr">
        <is>
          <t>Alex Shchepetilnikov</t>
        </is>
      </c>
      <c r="H49" s="154" t="inlineStr">
        <is>
          <t>✗ All missing</t>
        </is>
      </c>
      <c r="I49" s="155" t="inlineStr">
        <is>
          <t>🟠 NEEDS CLARITY</t>
        </is>
      </c>
      <c r="J49" s="99" t="inlineStr">
        <is>
          <t>Template Assessment:
  Context:     ✗ Missing
  Outcome/DoD: ✗ Missing
  Approach:    ✗ Missing
  Desc length: 15614 chars
Enrichment available:
  • BigQuery (stuck_repayments)
  • Granola (meeting notes)</t>
        </is>
      </c>
      <c r="K49"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49" s="157" t="inlineStr">
        <is>
          <t>Context
Loan state inconsistency: 27M virtual_card + 19M installment loans have is_active=TRUE AND is_closed=TRUE simultaneously. Data integrity issue.
Evidence: BQ: 27M vc loans AND 19M installment loans with conflicting active/closed state.
BQ confirms stuck repayments at scale: BQ confirms massive stuck repayment backlog: 181.6M repayments in 'created' (not yet processed) status in billing_rawdata. 168.9M are older than 30 days — evidence of systemic DD repayment creation/processing failures requiring alerting.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50" ht="90" customHeight="1" s="44">
      <c r="A50" s="35" t="inlineStr">
        <is>
          <t>Epic: Direct Debit &amp; Payments</t>
        </is>
      </c>
      <c r="B50" s="36" t="inlineStr">
        <is>
          <t>Phase 2</t>
        </is>
      </c>
      <c r="C50" s="29" t="inlineStr">
        <is>
          <t>MFT-1693</t>
        </is>
      </c>
      <c r="D50" s="30" t="inlineStr">
        <is>
          <t>MFT-1693</t>
        </is>
      </c>
      <c r="E50" s="16" t="inlineStr">
        <is>
          <t>Block manual DD repayment button for everyone except X</t>
        </is>
      </c>
      <c r="F50" s="100" t="inlineStr">
        <is>
          <t>To DO</t>
        </is>
      </c>
      <c r="G50" s="102" t="inlineStr">
        <is>
          <t>Nikola Lukic</t>
        </is>
      </c>
      <c r="H50" s="154" t="inlineStr">
        <is>
          <t>✗ All missing</t>
        </is>
      </c>
      <c r="I50" s="155" t="inlineStr">
        <is>
          <t>🟠 NEEDS CLARITY</t>
        </is>
      </c>
      <c r="J50" s="99" t="inlineStr">
        <is>
          <t>Template Assessment:
  Context:     ✗ Missing
  Outcome/DoD: ✗ Missing
  Approach:    ✗ Missing
  Desc length: 275 chars
No external enrichment found — enrich from Jira description.</t>
        </is>
      </c>
      <c r="K50"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50"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Unauthorised users cannot perform the restricted action.
• Permitted users can perform the action without friction.
• Validation error message is clear and actionable.
Approach
• Identify the action to be restricted and the permitted user set
• Add role / permission check in the relevant service handler
• Return appropriate 403/422 error with clear message for blocked users
• Add unit test covering permitted and blocked cases
• Verify in backoffice that blocked UI elements are hidden or disabled</t>
        </is>
      </c>
    </row>
    <row r="51" ht="90" customHeight="1" s="44">
      <c r="A51" s="35" t="inlineStr">
        <is>
          <t>Epic: Direct Debit &amp; Payments</t>
        </is>
      </c>
      <c r="B51" s="36" t="inlineStr">
        <is>
          <t>Phase 2</t>
        </is>
      </c>
      <c r="C51" s="29" t="inlineStr">
        <is>
          <t>MFT-1696</t>
        </is>
      </c>
      <c r="D51" s="30" t="inlineStr">
        <is>
          <t>MFT-1696</t>
        </is>
      </c>
      <c r="E51" s="16" t="inlineStr">
        <is>
          <t>Add overdue/repayments stats to the loan view</t>
        </is>
      </c>
      <c r="F51" s="100" t="inlineStr">
        <is>
          <t>To DO</t>
        </is>
      </c>
      <c r="G51" s="102" t="inlineStr">
        <is>
          <t>Vladislav Nikolaev</t>
        </is>
      </c>
      <c r="H51" s="154" t="inlineStr">
        <is>
          <t>✗ All missing</t>
        </is>
      </c>
      <c r="I51" s="155" t="inlineStr">
        <is>
          <t>🟠 NEEDS CLARITY</t>
        </is>
      </c>
      <c r="J51" s="99" t="inlineStr">
        <is>
          <t>Template Assessment:
  Context:     ✗ Missing
  Outcome/DoD: ✗ Missing
  Approach:    ✗ Missing
  Desc length: 296 chars
No external enrichment found — enrich from Jira description.</t>
        </is>
      </c>
      <c r="K51"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51"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Implementation of "Add overdue/repayments stats to the loan view" is complete and deployed.
• Automated test coverage added for the new behaviour.
• No regression in related functionality; confirmed in staging.
Approach
• Define "stuck" criteria: e.g. DD repayment in pending status for &gt;24h
• Write BQ query to enumerate affected records; validate against known cases
• Implement scheduled check (cron or Datadog monitor) targeting the condition
• Create alert routing to Slack #capital-on-call with loan ID, age, and context
• Document remediation steps for on-call engineer in runbook</t>
        </is>
      </c>
    </row>
    <row r="52" ht="90" customHeight="1" s="44">
      <c r="A52" s="35" t="inlineStr">
        <is>
          <t>Epic: Direct Debit &amp; Payments</t>
        </is>
      </c>
      <c r="B52" s="36" t="inlineStr">
        <is>
          <t>Phase 2</t>
        </is>
      </c>
      <c r="C52" s="20" t="inlineStr">
        <is>
          <t>MFT-1697</t>
        </is>
      </c>
      <c r="D52" s="21" t="inlineStr">
        <is>
          <t>MFT-1697</t>
        </is>
      </c>
      <c r="E52" s="22" t="inlineStr">
        <is>
          <t>Unify repayments view for pre-approved and FRF</t>
        </is>
      </c>
      <c r="F52" s="100" t="inlineStr">
        <is>
          <t>To DO</t>
        </is>
      </c>
      <c r="G52" s="101" t="inlineStr">
        <is>
          <t>Artem Arakelyan</t>
        </is>
      </c>
      <c r="H52" s="159" t="inlineStr">
        <is>
          <t>Partial (2 missing)</t>
        </is>
      </c>
      <c r="I52" s="155" t="inlineStr">
        <is>
          <t>🟠 NEEDS CLARITY</t>
        </is>
      </c>
      <c r="J52" s="99" t="inlineStr">
        <is>
          <t>Template Assessment:
  Context:     ✗ Missing
  Outcome/DoD: ✓ Present
  Approach:    ✗ Missing
  Desc length: 84 chars
Enrichment available:
  • BigQuery (frf)
  • Granola (meeting notes)</t>
        </is>
      </c>
      <c r="K52"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52" s="157" t="inlineStr">
        <is>
          <t>Context
FRF task — Reem integration prerequisite. Capital stability must be proven before Reem onboarding.
Evidence: BQ: No 'reem' funding_source in production; all jpm/citi/self_funded. Reem not yet active.
BQ data for FRF analysis: BQ context: Pre-approved and FRF installments have different period structures (P1M vs P1M/P1W/P2W). Unifying repayments view must handle both schedule types — amounts and dates differ significantly between products.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53" ht="90" customHeight="1" s="44">
      <c r="A53" s="35" t="inlineStr">
        <is>
          <t>Epic: Offer Management</t>
        </is>
      </c>
      <c r="B53" s="36" t="inlineStr">
        <is>
          <t>Phase 2</t>
        </is>
      </c>
      <c r="C53" s="29" t="inlineStr">
        <is>
          <t>MFT-1703</t>
        </is>
      </c>
      <c r="D53" s="30" t="inlineStr">
        <is>
          <t>MFT-1703</t>
        </is>
      </c>
      <c r="E53" s="16" t="inlineStr">
        <is>
          <t>Automate control of offer status</t>
        </is>
      </c>
      <c r="F53" s="108" t="inlineStr">
        <is>
          <t>Developing</t>
        </is>
      </c>
      <c r="G53" s="102" t="inlineStr">
        <is>
          <t>szymon.giermakowski</t>
        </is>
      </c>
      <c r="H53" s="154" t="inlineStr">
        <is>
          <t>Partial (1 missing)</t>
        </is>
      </c>
      <c r="I53" s="155" t="inlineStr">
        <is>
          <t>🟠 NEEDS CLARITY</t>
        </is>
      </c>
      <c r="J53" s="99" t="inlineStr">
        <is>
          <t>Template Assessment:
  Context:     ✗ Missing
  Outcome/DoD: ✓ Present
  Approach:    ✓ Present
  Desc length: 267 chars
Enrichment available:
  • GitLab (MR/branch)</t>
        </is>
      </c>
      <c r="K53" s="156" t="inlineStr">
        <is>
          <t>Add the following to the Jira description:
• CONTEXT — Why is this task needed?
  Explain the incident/problem that triggered this work.
  Link to the red card incident (Feb 2026), CTO mandate, or specific BQ data.</t>
        </is>
      </c>
      <c r="L53" s="157" t="inlineStr">
        <is>
          <t>Context
We still have manual operation id DB for revoking capital offers as duty. 
Example
We should also have a flag for the offers that come from Risk - some type of source
GitLab: Draft MR adding project guidelines. Commit reveals: sync logic refactor replacing start date filter with min expired date filter + offer eviction functionality. MR: Add comprehensive project guidelines for Capital service in `.junie/guidelines.md` (Szymon Giermakowski) — https://gitlab.com/tabby.ai/services/capital/-/merge_requests/504
Outcome/Definition of Done
Risk team can control offer status without duty engineer
Approach
• Review and merge Add comprehensive project guidelines for Capital service in `.junie/guidelines.md` by Szymon Giermakowski (https://gitlab.com/tabby.ai/services/capital/-/merge_requests/504)
• Resolve all open review comments; remove Draft status
• Fix failing pipeline checks before merging
• Verify commit scope: MFT-1703 Refactor sync logic to replace start date filter with min expired date filter and add offer eviction functionality.</t>
        </is>
      </c>
    </row>
    <row r="54" ht="90" customHeight="1" s="44">
      <c r="A54" s="40" t="inlineStr">
        <is>
          <t>Epic: Reem Integration</t>
        </is>
      </c>
      <c r="B54" s="41" t="inlineStr">
        <is>
          <t>Phase 3</t>
        </is>
      </c>
      <c r="C54" s="20" t="inlineStr">
        <is>
          <t>MFT-1838</t>
        </is>
      </c>
      <c r="D54" s="21" t="inlineStr">
        <is>
          <t>MFT-1838</t>
        </is>
      </c>
      <c r="E54" s="22" t="inlineStr">
        <is>
          <t>Implement integration with CreateLoan API from Reem</t>
        </is>
      </c>
      <c r="F54" s="100" t="inlineStr">
        <is>
          <t>To DO</t>
        </is>
      </c>
      <c r="G54" s="101" t="inlineStr">
        <is>
          <t>Stanislav Kaychenkov</t>
        </is>
      </c>
      <c r="H54" s="154" t="inlineStr">
        <is>
          <t>Partial (1 missing)</t>
        </is>
      </c>
      <c r="I54" s="155" t="inlineStr">
        <is>
          <t>🟠 NEEDS CLARITY</t>
        </is>
      </c>
      <c r="J54" s="99" t="inlineStr">
        <is>
          <t>Template Assessment:
  Context:     ✗ Missing
  Outcome/DoD: ✓ Present
  Approach:    ✓ Present
  Desc length: 750 chars
Enrichment available:
  • BigQuery (reem_integration)
  • Granola (meeting notes)</t>
        </is>
      </c>
      <c r="K54" s="156" t="inlineStr">
        <is>
          <t>Add the following to the Jira description:
• CONTEXT — Why is this task needed?
  Explain the incident/problem that triggered this work.
  Link to the red card incident (Feb 2026), CTO mandate, or specific BQ data.</t>
        </is>
      </c>
      <c r="L54" s="157" t="inlineStr">
        <is>
          <t>Context
Reem integration task — Capital must demonstrate stability and billing SoT before Reem partnership can proceed.
Evidence: Meeting: Reem 4-month delay confirmed. All stability work is prerequisite.
BQ context on Reem integration: BQ confirms: No Reem-funded loans in production (funding_source: jpm/citi/self_funded only). CreateLoan API integration with Reem is a net-new integration — implementation will introduce the first 'reem' funding_source loans.
Outcome/Definition of Done
A CreateLoan method is implemented on internal/loan/client/Client, with concrete request/response types defined.
The loan.Client interface is extended with CreateLoan.
A stub implementation returns a realistic hardcoded response.
The disbursement service calls CreateLoan at the appropriate lifecycle phase.
Error handling follows the existing pattern in internal/loan/client/errors.go.
The integration is covered by unit tests using the mock/stub.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55" ht="90" customHeight="1" s="44">
      <c r="A55" s="40" t="inlineStr">
        <is>
          <t>Epic: Reem Integration</t>
        </is>
      </c>
      <c r="B55" s="41" t="inlineStr">
        <is>
          <t>Phase 3</t>
        </is>
      </c>
      <c r="C55" s="29" t="inlineStr">
        <is>
          <t>MFT-1795</t>
        </is>
      </c>
      <c r="D55" s="30" t="inlineStr">
        <is>
          <t>MFT-1795</t>
        </is>
      </c>
      <c r="E55" s="16" t="inlineStr">
        <is>
          <t>reconcile loan amount vs reem</t>
        </is>
      </c>
      <c r="F55" s="100" t="inlineStr">
        <is>
          <t>To DO</t>
        </is>
      </c>
      <c r="G55" s="102" t="inlineStr">
        <is>
          <t>Vladislav Nikolaev</t>
        </is>
      </c>
      <c r="H55" s="154" t="inlineStr">
        <is>
          <t>Partial (2 missing)</t>
        </is>
      </c>
      <c r="I55" s="155" t="inlineStr">
        <is>
          <t>🟠 NEEDS CLARITY</t>
        </is>
      </c>
      <c r="J55" s="99" t="inlineStr">
        <is>
          <t>Template Assessment:
  Context:     ✗ Missing
  Outcome/DoD: ✓ Present
  Approach:    ✗ Missing
  Desc length: 310 chars
Enrichment available:
  • BigQuery (reem_integration)
  • Granola (meeting notes)</t>
        </is>
      </c>
      <c r="K55"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55" s="157" t="inlineStr">
        <is>
          <t>Context
Reem integration task — blocked by Capital stability requirements. CTO: Reem cannot be onboarded until billing SoT proven and Capital stabilized.
Evidence: Meeting: Reem timeline pushed to June. Capital stability is prerequisite.
BQ context on Reem integration: BQ confirms: No 'reem' funding_source exists in billing_rawdata.loans — all loans funded by 'jpm', 'citi', or 'self_funded'. Reconcile loan amount vs Reem is a forward-looking task (Reem integration not yet live in production).
Outcome/Definition of Done
Script retrieves loan data from Reem.
Script compares amount with Capital loan configuration.
Any mismatch is reported with loan identifiers.
Reconciliation output available for alerting.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56" ht="90" customHeight="1" s="44">
      <c r="A56" s="40" t="inlineStr">
        <is>
          <t>Epic: Reem Integration</t>
        </is>
      </c>
      <c r="B56" s="41" t="inlineStr">
        <is>
          <t>Phase 3</t>
        </is>
      </c>
      <c r="C56" s="20" t="inlineStr">
        <is>
          <t>MFT-1796</t>
        </is>
      </c>
      <c r="D56" s="21" t="inlineStr">
        <is>
          <t>MFT-1796</t>
        </is>
      </c>
      <c r="E56" s="22" t="inlineStr">
        <is>
          <t>Add mandate data checks</t>
        </is>
      </c>
      <c r="F56" s="100" t="inlineStr">
        <is>
          <t>To DO</t>
        </is>
      </c>
      <c r="G56" s="101" t="inlineStr">
        <is>
          <t>Nikola Lukic</t>
        </is>
      </c>
      <c r="H56" s="154" t="inlineStr">
        <is>
          <t>Partial (2 missing)</t>
        </is>
      </c>
      <c r="I56" s="155" t="inlineStr">
        <is>
          <t>🟠 NEEDS CLARITY</t>
        </is>
      </c>
      <c r="J56" s="99" t="inlineStr">
        <is>
          <t>Template Assessment:
  Context:     ✗ Missing
  Outcome/DoD: ✓ Present
  Approach:    ✗ Missing
  Desc length: 287 chars
Enrichment available:
  • Granola (meeting notes)</t>
        </is>
      </c>
      <c r="K56"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56" s="157" t="inlineStr">
        <is>
          <t>Context
Reconciliation task — post-crisis Capital vs Billing reconciliation.
Evidence: 43/190 loan mismatches with Capital vs Billing discrepancies confirmed in meeting notes.
Outcome/Definition of Done
Script retrieves mandate data via DD API (GetMandateStatus).
Each loan must have an active mandate.
Missing or inactive mandates are reported.
Output available for alerting.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57" ht="90" customHeight="1" s="44">
      <c r="A57" s="40" t="inlineStr">
        <is>
          <t>Epic: Reem Integration</t>
        </is>
      </c>
      <c r="B57" s="41" t="inlineStr">
        <is>
          <t>Phase 3</t>
        </is>
      </c>
      <c r="C57" s="29" t="inlineStr">
        <is>
          <t>MFT-1797</t>
        </is>
      </c>
      <c r="D57" s="30" t="inlineStr">
        <is>
          <t>MFT-1797</t>
        </is>
      </c>
      <c r="E57" s="16" t="inlineStr">
        <is>
          <t>Add mandate expiration vs installment plan check</t>
        </is>
      </c>
      <c r="F57" s="100" t="inlineStr">
        <is>
          <t>To DO</t>
        </is>
      </c>
      <c r="G57" s="102" t="inlineStr">
        <is>
          <t>Nikola Lukic</t>
        </is>
      </c>
      <c r="H57" s="154" t="inlineStr">
        <is>
          <t>Partial (2 missing)</t>
        </is>
      </c>
      <c r="I57" s="155" t="inlineStr">
        <is>
          <t>🟠 NEEDS CLARITY</t>
        </is>
      </c>
      <c r="J57" s="99" t="inlineStr">
        <is>
          <t>Template Assessment:
  Context:     ✗ Missing
  Outcome/DoD: ✓ Present
  Approach:    ✗ Missing
  Desc length: 311 chars
Enrichment available:
  • Granola (meeting notes)</t>
        </is>
      </c>
      <c r="K57"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57" s="157" t="inlineStr">
        <is>
          <t>Context
Reconciliation task — part of hourly automated reconciliation initiative.
Evidence: CTO: automated reconciliation hourly required for financial services grade.
Outcome/Definition of Done
Script retrieves mandate expiration date.
Script compares expiration with last installment date.
Mandate must remain valid through full repayment schedule.
Violations are reported per loan.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58" ht="90" customHeight="1" s="44">
      <c r="A58" s="40" t="inlineStr">
        <is>
          <t>Epic: Reem Integration</t>
        </is>
      </c>
      <c r="B58" s="41" t="inlineStr">
        <is>
          <t>Phase 3</t>
        </is>
      </c>
      <c r="C58" s="20" t="inlineStr">
        <is>
          <t>MFT-1798</t>
        </is>
      </c>
      <c r="D58" s="21" t="inlineStr">
        <is>
          <t>MFT-1798</t>
        </is>
      </c>
      <c r="E58" s="22" t="inlineStr">
        <is>
          <t>Add payment verification check</t>
        </is>
      </c>
      <c r="F58" s="100" t="inlineStr">
        <is>
          <t>To DO</t>
        </is>
      </c>
      <c r="G58" s="101" t="inlineStr">
        <is>
          <t>Nikola Lukic</t>
        </is>
      </c>
      <c r="H58" s="154" t="inlineStr">
        <is>
          <t>Partial (2 missing)</t>
        </is>
      </c>
      <c r="I58" s="155" t="inlineStr">
        <is>
          <t>🟠 NEEDS CLARITY</t>
        </is>
      </c>
      <c r="J58" s="99" t="inlineStr">
        <is>
          <t>Template Assessment:
  Context:     ✗ Missing
  Outcome/DoD: ✓ Present
  Approach:    ✗ Missing
  Desc length: 314 chars
Enrichment available:
  • Granola (meeting notes)</t>
        </is>
      </c>
      <c r="K58"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58" s="157" t="inlineStr">
        <is>
          <t>Context
Reconciliation task — ensuring financial accuracy post-red card incident.
Evidence: Red card incident Feb 2026 triggered CTO intervention and reconciliation mandate.
Outcome/Definition of Done
Script retrieves payment status, amount, and date from DD API.
Script compares with Capital repayment records.
Amount and date must match (with agreed tolerance).
Status inconsistencies are reported.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59" ht="90" customHeight="1" s="44">
      <c r="A59" s="18" t="inlineStr">
        <is>
          <t>Epic: QA &amp; Testing</t>
        </is>
      </c>
      <c r="B59" s="19" t="inlineStr">
        <is>
          <t>Phase 1</t>
        </is>
      </c>
      <c r="C59" s="29" t="inlineStr">
        <is>
          <t>MFT-1816</t>
        </is>
      </c>
      <c r="D59" s="30" t="inlineStr">
        <is>
          <t>MFT-1816</t>
        </is>
      </c>
      <c r="E59" s="16" t="inlineStr">
        <is>
          <t>[QA] Test Case Design &amp; Coverage Definition - Billing SoT</t>
        </is>
      </c>
      <c r="F59" s="108" t="inlineStr">
        <is>
          <t>Developing</t>
        </is>
      </c>
      <c r="G59" s="102" t="inlineStr">
        <is>
          <t>Lusine Karapetyan</t>
        </is>
      </c>
      <c r="H59" s="154" t="inlineStr">
        <is>
          <t>✗ All missing</t>
        </is>
      </c>
      <c r="I59" s="155" t="inlineStr">
        <is>
          <t>🟠 NEEDS CLARITY</t>
        </is>
      </c>
      <c r="J59" s="99" t="inlineStr">
        <is>
          <t>Template Assessment:
  Context:     ✗ Missing
  Outcome/DoD: ✗ Missing
  Approach:    ✗ Missing
  Desc length: 729 chars
Enrichment available:
  • BigQuery (billing_migration)
  • Granola (meeting notes)</t>
        </is>
      </c>
      <c r="K59"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59" s="157" t="inlineStr">
        <is>
          <t>Context
QA gatekeeping introduced post-crisis: no releases without QA model in place. Billing migration testing requires financial-services-grade QA including automated reconciliation.
Evidence: CTO demanded three plans: (1) billing SoT in 2 weeks, (2) QA improvement, (3) tech debt reduction.
BigQuery confirms the migration gap: BQ context: Billing SoT migration is large-scale — 57% of recent virtual_card_installments loans still have is_billing_enabled=FALSE. Test coverage must validate all product types and the transition from Capital-as-SoT to Billing-as-SoT.
Outcome/Definition of Done
• Capital no longer performs independent calculations for this concern.
• All data sourced exclusively from Billing service.
• Existing automated tests pass; new integration test added to cover the billing-driven path.
• No regression in repayment accuracy confirmed by reconciliation job.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60" ht="90" customHeight="1" s="44">
      <c r="A60" s="18" t="inlineStr">
        <is>
          <t>Epic: QA &amp; Testing</t>
        </is>
      </c>
      <c r="B60" s="19" t="inlineStr">
        <is>
          <t>Phase 1</t>
        </is>
      </c>
      <c r="C60" s="20" t="inlineStr">
        <is>
          <t>MFT-1817</t>
        </is>
      </c>
      <c r="D60" s="21" t="inlineStr">
        <is>
          <t>MFT-1817</t>
        </is>
      </c>
      <c r="E60" s="22" t="inlineStr">
        <is>
          <t>[Spike] Research how we can block changing payout schedule for merchant with pre-approved loans</t>
        </is>
      </c>
      <c r="F60" s="100" t="inlineStr">
        <is>
          <t>To DO</t>
        </is>
      </c>
      <c r="G60" s="101" t="inlineStr">
        <is>
          <t>Vladislav Nikolaev</t>
        </is>
      </c>
      <c r="H60" s="158" t="inlineStr">
        <is>
          <t>✗ All missing</t>
        </is>
      </c>
      <c r="I60" s="155" t="inlineStr">
        <is>
          <t>🟠 NEEDS CLARITY</t>
        </is>
      </c>
      <c r="J60" s="99" t="inlineStr">
        <is>
          <t>Template Assessment:
  Context:     ✗ Missing
  Outcome/DoD: ✗ Missing
  Approach:    ✗ Missing
Enrichment available:
  • Granola (meeting notes)</t>
        </is>
      </c>
      <c r="K60"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60" s="157" t="inlineStr">
        <is>
          <t>Context
Empty description task. Context: QA gatekeeping post-crisis. No releases without QA model.
Evidence: Part of post-crisis QA improvement mandate from CTO.
Outcome/Definition of Done
• Research document / ADR written and reviewed by tech lead.
• Key decisions documented with rationale; aligned with Billing team if cross-service.
• Output shared in relevant Slack channel; linked from Jira.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61" ht="90" customHeight="1" s="44">
      <c r="A61" s="18" t="inlineStr">
        <is>
          <t>Epic: QA &amp; Testing</t>
        </is>
      </c>
      <c r="B61" s="19" t="inlineStr">
        <is>
          <t>Phase 1</t>
        </is>
      </c>
      <c r="C61" s="29" t="inlineStr">
        <is>
          <t>MFT-1818</t>
        </is>
      </c>
      <c r="D61" s="30" t="inlineStr">
        <is>
          <t>MFT-1818</t>
        </is>
      </c>
      <c r="E61" s="106" t="inlineStr">
        <is>
          <t>[QA] Loan State Machine &amp; Health Check Validation</t>
        </is>
      </c>
      <c r="F61" s="109" t="inlineStr">
        <is>
          <t>Cancelled</t>
        </is>
      </c>
      <c r="G61" s="102" t="inlineStr">
        <is>
          <t>—</t>
        </is>
      </c>
      <c r="H61" s="158" t="inlineStr">
        <is>
          <t>Partial (2 missing)</t>
        </is>
      </c>
      <c r="I61" s="155" t="inlineStr">
        <is>
          <t>🟠 NEEDS CLARITY</t>
        </is>
      </c>
      <c r="J61" s="99" t="inlineStr">
        <is>
          <t>Template Assessment:
  Context:     ✗ Missing
  Outcome/DoD: ✓ Present
  Approach:    ✗ Missing
  Desc length: 689 chars
Enrichment available:
  • BigQuery (loan_state)
  • Granola (meeting notes)</t>
        </is>
      </c>
      <c r="K61"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61" s="157" t="inlineStr">
        <is>
          <t>Context
QA/testing — loan state machine documentation and automated reconciliation testing.
Evidence: Meeting: automated reconciliation hourly required, financial services-grade QA demanded.
BQ data shows the loan state discrepancy: BQ context: Loan state machine has provable inconsistencies — 27M+ virtual_card_installment loans and 19M+ installments show is_active=TRUE AND is_closed=TRUE simultaneously. Health check validation must detect and flag these contradictory states.
Outcome/Definition of Done
• Loan state transitions driven exclusively by the correct service.
• No dual-write or race conditions between Capital and Billing.
• Integration test confirms correct state machine behaviour end-to-end.
Approach
• Map current Capital loan state machine and identify autonomous transition logic
• Implement handler to receive CLOSE / state-change event from Billing service
• Remove Capital-owned closure/state logic that duplicates Billing decision
• Add integration test covering the full event-driven state transition flow
• Validate in staging with test loans across all product types
• Add monitoring: alert if Capital state diverges from Billing state for &gt;1h</t>
        </is>
      </c>
    </row>
    <row r="62" ht="90" customHeight="1" s="44">
      <c r="A62" s="18" t="inlineStr">
        <is>
          <t>Epic: QA &amp; Testing</t>
        </is>
      </c>
      <c r="B62" s="19" t="inlineStr">
        <is>
          <t>Phase 1</t>
        </is>
      </c>
      <c r="C62" s="20" t="inlineStr">
        <is>
          <t>MFT-1819</t>
        </is>
      </c>
      <c r="D62" s="21" t="inlineStr">
        <is>
          <t>MFT-1819</t>
        </is>
      </c>
      <c r="E62" s="105" t="inlineStr">
        <is>
          <t>Build first iteration of test model / Lifecycle Integrity Checks for loans</t>
        </is>
      </c>
      <c r="F62" s="103" t="inlineStr">
        <is>
          <t>Backlog</t>
        </is>
      </c>
      <c r="G62" s="101" t="inlineStr">
        <is>
          <t>—</t>
        </is>
      </c>
      <c r="H62" s="158" t="inlineStr">
        <is>
          <t>Partial (1 missing)</t>
        </is>
      </c>
      <c r="I62" s="155" t="inlineStr">
        <is>
          <t>🟠 NEEDS CLARITY</t>
        </is>
      </c>
      <c r="J62" s="99" t="inlineStr">
        <is>
          <t>Template Assessment:
  Context:     ✓ Present
  Outcome/DoD: ✓ Present
  Approach:    ✗ Missing
  Desc length: 1402 chars
Enrichment available:
  • Granola (meeting notes)</t>
        </is>
      </c>
      <c r="K62" s="156" t="inlineStr">
        <is>
          <t>Add the following to the Jira description:
• APPROACH — How will this be implemented?
  List the implementation steps, services affected, and dependencies.
  Note any blockers or prerequisites.</t>
        </is>
      </c>
      <c r="L62" s="157" t="inlineStr">
        <is>
          <t>Context
QA testing task — part of three-plan mandate: billing SoT, QA improvement, tech debt reduction.
Evidence: CTO crisis response: all three plans required as conditions for continuing Capital development.
Outcome/Definition of Done
A formal Golden Path model (positive test model) is defined and documented.
A reconciliation script validates all loans and repayments against the model.
Invalid or suspicious states/transitions are detected and surfaced.
Alerts and Slack notifications are triggered for violations.
The model and validation logic are tested and trusted by the team.
Approach
Define a positive model of valid states, transitions, and timing boundaries (Golden Path).
Implement a validation script that evaluates real loans against this model.
Integrate validation results with monitoring and alerting.
Roll out alerts to Slack for operational visibility.
Validate the model and implementation via QA scenarios and real data sampling.</t>
        </is>
      </c>
    </row>
    <row r="63" ht="90" customHeight="1" s="44">
      <c r="A63" s="18" t="inlineStr">
        <is>
          <t>Epic: QA &amp; Testing</t>
        </is>
      </c>
      <c r="B63" s="19" t="inlineStr">
        <is>
          <t>Phase 1</t>
        </is>
      </c>
      <c r="C63" s="29" t="inlineStr">
        <is>
          <t>MFT-1820</t>
        </is>
      </c>
      <c r="D63" s="30" t="inlineStr">
        <is>
          <t>MFT-1820</t>
        </is>
      </c>
      <c r="E63" s="16" t="inlineStr">
        <is>
          <t>[Spike] Define positive test model based on allowed boundaries</t>
        </is>
      </c>
      <c r="F63" s="100" t="inlineStr">
        <is>
          <t>To DO</t>
        </is>
      </c>
      <c r="G63" s="102" t="inlineStr">
        <is>
          <t>Evgeny Muravev</t>
        </is>
      </c>
      <c r="H63" s="154" t="inlineStr">
        <is>
          <t>Partial (1 missing)</t>
        </is>
      </c>
      <c r="I63" s="155" t="inlineStr">
        <is>
          <t>🟠 NEEDS CLARITY</t>
        </is>
      </c>
      <c r="J63" s="99" t="inlineStr">
        <is>
          <t>Template Assessment:
  Context:     ✗ Missing
  Outcome/DoD: ✓ Present
  Approach:    ✓ Present
  Desc length: 676 chars
Enrichment available:
  • Granola (meeting notes)</t>
        </is>
      </c>
      <c r="K63" s="156" t="inlineStr">
        <is>
          <t>Add the following to the Jira description:
• CONTEXT — Why is this task needed?
  Explain the incident/problem that triggered this work.
  Link to the red card incident (Feb 2026), CTO mandate, or specific BQ data.</t>
        </is>
      </c>
      <c r="L63" s="157" t="inlineStr">
        <is>
          <t>Context
QA testing task — financial services-grade QA framework.
Evidence: Meeting: three amigos approach, loan state machine docs, golden flow monitoring as QA framework components.
Outcome/Definition of Done
Documented Golden Path model describing:
Valid offer states and transitions
Valid application states and transitions
Valid loan states and transitions.
Valid repayment states and transitions.
Allowed timing boundaries between lifecycle steps.
Edge cases and acceptable deviations (if any) are explicitly documented.
Output is available as a written spec suitable for implementation.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64" ht="90" customHeight="1" s="44">
      <c r="A64" s="42" t="inlineStr">
        <is>
          <t>Epic: Infrastructure &amp; Performance</t>
        </is>
      </c>
      <c r="B64" s="43" t="inlineStr">
        <is>
          <t>Phase 0</t>
        </is>
      </c>
      <c r="C64" s="20" t="inlineStr">
        <is>
          <t>MFT-1811</t>
        </is>
      </c>
      <c r="D64" s="21" t="inlineStr">
        <is>
          <t>MFT-1811</t>
        </is>
      </c>
      <c r="E64" s="22" t="inlineStr">
        <is>
          <t>[BE] Extract repayment processing logic to separated module (processor)</t>
        </is>
      </c>
      <c r="F64" s="100" t="inlineStr">
        <is>
          <t>To DO</t>
        </is>
      </c>
      <c r="G64" s="101" t="inlineStr">
        <is>
          <t>Evgenii Tumanovskii</t>
        </is>
      </c>
      <c r="H64" s="154" t="inlineStr">
        <is>
          <t>Partial (1 missing)</t>
        </is>
      </c>
      <c r="I64" s="155" t="inlineStr">
        <is>
          <t>🟠 NEEDS CLARITY</t>
        </is>
      </c>
      <c r="J64" s="99" t="inlineStr">
        <is>
          <t>Template Assessment:
  Context:     ✓ Present
  Outcome/DoD: ✓ Present
  Approach:    ✗ Missing
  Desc length: 362 chars
Enrichment available:
  • Granola (meeting notes)</t>
        </is>
      </c>
      <c r="K64" s="156" t="inlineStr">
        <is>
          <t>Add the following to the Jira description:
• APPROACH — How will this be implemented?
  List the implementation steps, services affected, and dependencies.
  Note any blockers or prerequisites.</t>
        </is>
      </c>
      <c r="L64" s="157" t="inlineStr">
        <is>
          <t>Context
Capital refactoring — eliminate mutator between Capital and BNPL as part of 'dumb shell' architecture.
Evidence: Meeting: 'stop dual invoice creation' and 'eliminate mutator between Capital and BNPL' as key tech debt targets.
Outcome/Definition of Done
All TECH logic related to processing of repayments are stored in one place and can be easily changed according to technical needs in the future
Approach
• Identify the lifecycle stages / entities requiring observability coverage
• Add structured log events at key state transitions
• Create Datadog dashboard covering the identified metrics
• Set alert thresholds based on expected SLA (e.g. &gt;1 day in state = alert)
• Document the observability model: entities, states, SLA thresholds</t>
        </is>
      </c>
    </row>
    <row r="65" ht="90" customHeight="1" s="44">
      <c r="A65" s="42" t="inlineStr">
        <is>
          <t>Epic: Infrastructure &amp; Performance</t>
        </is>
      </c>
      <c r="B65" s="43" t="inlineStr">
        <is>
          <t>Phase 0</t>
        </is>
      </c>
      <c r="C65" s="29" t="inlineStr">
        <is>
          <t>MFT-1813</t>
        </is>
      </c>
      <c r="D65" s="30" t="inlineStr">
        <is>
          <t>MFT-1813</t>
        </is>
      </c>
      <c r="E65" s="16" t="inlineStr">
        <is>
          <t>Revise and adapt validation jobs</t>
        </is>
      </c>
      <c r="F65" s="100" t="inlineStr">
        <is>
          <t>To DO</t>
        </is>
      </c>
      <c r="G65" s="102" t="inlineStr">
        <is>
          <t>Evgenii Tumanovskii</t>
        </is>
      </c>
      <c r="H65" s="159" t="inlineStr">
        <is>
          <t>✗ All missing</t>
        </is>
      </c>
      <c r="I65" s="155" t="inlineStr">
        <is>
          <t>🟠 NEEDS CLARITY</t>
        </is>
      </c>
      <c r="J65" s="99" t="inlineStr">
        <is>
          <t>Template Assessment:
  Context:     ✗ Missing
  Outcome/DoD: ✗ Missing
  Approach:    ✗ Missing
  Desc length: 122 chars
No external enrichment found — enrich from Jira description.</t>
        </is>
      </c>
      <c r="K65"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65"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Implementation of "Revise and adapt validation jobs"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66" ht="90" customHeight="1" s="44">
      <c r="A66" s="42" t="inlineStr">
        <is>
          <t>Epic: Infrastructure &amp; Performance</t>
        </is>
      </c>
      <c r="B66" s="43" t="inlineStr">
        <is>
          <t>Phase 0</t>
        </is>
      </c>
      <c r="C66" s="20" t="inlineStr">
        <is>
          <t>MFT-1814</t>
        </is>
      </c>
      <c r="D66" s="21" t="inlineStr">
        <is>
          <t>MFT-1814</t>
        </is>
      </c>
      <c r="E66" s="22" t="inlineStr">
        <is>
          <t>[Spike] Revise BQ tables and other team reports</t>
        </is>
      </c>
      <c r="F66" s="100" t="inlineStr">
        <is>
          <t>To DO</t>
        </is>
      </c>
      <c r="G66" s="101" t="inlineStr">
        <is>
          <t>Stanislav Kaychenkov</t>
        </is>
      </c>
      <c r="H66" s="154" t="inlineStr">
        <is>
          <t>Partial (1 missing)</t>
        </is>
      </c>
      <c r="I66" s="155" t="inlineStr">
        <is>
          <t>🟠 NEEDS CLARITY</t>
        </is>
      </c>
      <c r="J66" s="99" t="inlineStr">
        <is>
          <t>Template Assessment:
  Context:     ✗ Missing
  Outcome/DoD: ✓ Present
  Approach:    ✓ Present
  Desc length: 522 chars
No external enrichment found — enrich from Jira description.</t>
        </is>
      </c>
      <c r="K66" s="156" t="inlineStr">
        <is>
          <t>Add the following to the Jira description:
• CONTEXT — Why is this task needed?
  Explain the incident/problem that triggered this work.
  Link to the red card incident (Feb 2026), CTO mandate, or specific BQ data.</t>
        </is>
      </c>
      <c r="L66"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Table will be filled and 
Zaki
 will communicate with stakeholders from other teams to change their reports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67" ht="90" customHeight="1" s="44">
      <c r="A67" s="42" t="inlineStr">
        <is>
          <t>Epic: Amount Precision</t>
        </is>
      </c>
      <c r="B67" s="43" t="inlineStr">
        <is>
          <t>Phase 0</t>
        </is>
      </c>
      <c r="C67" s="29" t="inlineStr">
        <is>
          <t>MFT-1876</t>
        </is>
      </c>
      <c r="D67" s="30" t="inlineStr">
        <is>
          <t>MFT-1876</t>
        </is>
      </c>
      <c r="E67" s="16" t="inlineStr">
        <is>
          <t>Check precision of amount for manual repayments</t>
        </is>
      </c>
      <c r="F67" s="111" t="inlineStr">
        <is>
          <t>Review</t>
        </is>
      </c>
      <c r="G67" s="102" t="inlineStr">
        <is>
          <t>Evgenii Tumanovskii</t>
        </is>
      </c>
      <c r="H67" s="154" t="inlineStr">
        <is>
          <t>Partial (2 missing)</t>
        </is>
      </c>
      <c r="I67" s="155" t="inlineStr">
        <is>
          <t>🟠 NEEDS CLARITY</t>
        </is>
      </c>
      <c r="J67" s="99" t="inlineStr">
        <is>
          <t>Template Assessment:
  Context:     ✗ Missing
  Outcome/DoD: ✓ Present
  Approach:    ✗ Missing
  Desc length: 568 chars
Enrichment available:
  • GitLab (MR/branch)
  • BigQuery (repayment_precision)
  • Granola (meeting notes)</t>
        </is>
      </c>
      <c r="K67"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67" s="157" t="inlineStr">
        <is>
          <t>Context
Repayment precision: wrong decimal places for KWD (3dp) and BHD (3dp) currencies stored as 2dp. GitLab MR !506 open for fix. BQ confirms 57.2% KWD and 61.6% BHD wrong precision.
Evidence: MR !506: precision validation fix. BQ: KWD 57.2% wrong, BHD 61.6% wrong. SAR/AED 0% wrong.
BQ analysis confirms precision errors exist at scale: BQ confirms precision bug in manual repayments: KWD repayments — 57.2% have wrong decimal precision (KWD has 3dp but amount stored with 2dp). BHD: 61.6% wrong. SAR/AED: 0% wrong. Currency-specific validation is needed.
GitLab: Active MR: forbids wrong decimal precision for manual repayments. Codebase signal: precision validation added/changed for manual repayment flow. MR: MFT-1876 forbid wrong precision for manual repayments (Evgenii Tumanovskii) — https://gitlab.com/tabby.ai/services/capital/-/merge_requests/506
Outcome/Definition of Done
• MR merged: MFT-1876 forbid wrong precision for manual repayments (https://gitlab.com/tabby.ai/services/capital/-/merge_requests/506)
• No repayment precision errors (KWD 3dp, BHD 3dp) pass validation.
• Validation rejects incorrect precision at API boundary.
• Regression tests cover all supported currencies.
Approach
• Review and merge MFT-1876 forbid wrong precision for manual repayments by Evgenii Tumanovskii (https://gitlab.com/tabby.ai/services/capital/-/merge_requests/506)
• Resolve remaining review comments
• Verify commit scope: MFT-1876 change way of checking precision
• Identify all repayment amount calculation paths affected by precision issue
• Add input validation enforcing correct decimal precision per currency (KWD: 3dp, BHD: 3dp, AED/SAR: 2dp)
• Reject invalid precision at API boundary with clear error message
• Add unit tests for each currency covering boundary cases
• Run BQ query post-deploy to confirm zero new precision violations</t>
        </is>
      </c>
    </row>
    <row r="68" ht="90" customHeight="1" s="44">
      <c r="A68" s="42" t="inlineStr">
        <is>
          <t>Epic: Amount Precision</t>
        </is>
      </c>
      <c r="B68" s="43" t="inlineStr">
        <is>
          <t>Phase 0</t>
        </is>
      </c>
      <c r="C68" s="20" t="inlineStr">
        <is>
          <t>MFT-1877</t>
        </is>
      </c>
      <c r="D68" s="21" t="inlineStr">
        <is>
          <t>MFT-1877</t>
        </is>
      </c>
      <c r="E68" s="22" t="inlineStr">
        <is>
          <t>Check amount precision in repayments importer based on currency</t>
        </is>
      </c>
      <c r="F68" s="100" t="inlineStr">
        <is>
          <t>To DO</t>
        </is>
      </c>
      <c r="G68" s="101" t="inlineStr">
        <is>
          <t>—</t>
        </is>
      </c>
      <c r="H68" s="154" t="inlineStr">
        <is>
          <t>Partial (1 missing)</t>
        </is>
      </c>
      <c r="I68" s="155" t="inlineStr">
        <is>
          <t>🟠 NEEDS CLARITY</t>
        </is>
      </c>
      <c r="J68" s="99" t="inlineStr">
        <is>
          <t>Template Assessment:
  Context:     ✗ Missing
  Outcome/DoD: ✓ Present
  Approach:    ✓ Present
  Desc length: 301 chars
Enrichment available:
  • BigQuery (repayment_precision)
  • Granola (meeting notes)</t>
        </is>
      </c>
      <c r="K68" s="156" t="inlineStr">
        <is>
          <t>Add the following to the Jira description:
• CONTEXT — Why is this task needed?
  Explain the incident/problem that triggered this work.
  Link to the red card incident (Feb 2026), CTO mandate, or specific BQ data.</t>
        </is>
      </c>
      <c r="L68" s="157" t="inlineStr">
        <is>
          <t>Context
Repayment precision companion task. BHD (Bahraini Dinar) stored as 2dp instead of 3dp. 61.6% of BHD repayments affected.
Evidence: BQ: 61.6% of BHD repayments have wrong precision. SAR/AED 0% wrong (correctly using 2dp).
BQ analysis confirms precision errors exist at scale: BQ confirms precision bug in repayments importer: KWD — 57.2% wrong precision, BHD — 61.6% wrong. SAR/AED at 0% (2dp currencies unaffected). Importer must validate precision per currency (KWD/BHD=3dp, SAR/AED=2dp).
Outcome/Definition of Done
• No repayment precision errors (KWD 3dp, BHD 3dp) pass validation.
• Validation rejects incorrect precision at API boundary.
• Regression tests cover all supported currencies.
Approach
• Identify all repayment amount calculation paths affected by precision issue
• Add input validation enforcing correct decimal precision per currency (KWD: 3dp, BHD: 3dp, AED/SAR: 2dp)
• Reject invalid precision at API boundary with clear error message
• Add unit tests for each currency covering boundary cases
• Run BQ query post-deploy to confirm zero new precision violations</t>
        </is>
      </c>
    </row>
    <row r="69" ht="90" customHeight="1" s="44">
      <c r="A69" s="42" t="inlineStr">
        <is>
          <t>Epic: Miscellaneous / Unassigned</t>
        </is>
      </c>
      <c r="B69" s="43" t="inlineStr">
        <is>
          <t>Various</t>
        </is>
      </c>
      <c r="C69" s="29" t="inlineStr">
        <is>
          <t>MFT-1676</t>
        </is>
      </c>
      <c r="D69" s="30" t="inlineStr">
        <is>
          <t>MFT-1676</t>
        </is>
      </c>
      <c r="E69" s="16" t="inlineStr">
        <is>
          <t>Block changing of payout schedule for merchant which has pre-approved &amp; Change to Monday</t>
        </is>
      </c>
      <c r="F69" s="100" t="inlineStr">
        <is>
          <t>To DO</t>
        </is>
      </c>
      <c r="G69" s="102" t="inlineStr">
        <is>
          <t>Vladislav Nikolaev</t>
        </is>
      </c>
      <c r="H69" s="159" t="inlineStr">
        <is>
          <t>✗ All missing</t>
        </is>
      </c>
      <c r="I69" s="155" t="inlineStr">
        <is>
          <t>🟠 NEEDS CLARITY</t>
        </is>
      </c>
      <c r="J69" s="99" t="inlineStr">
        <is>
          <t>Template Assessment:
  Context:     ✗ Missing
  Outcome/DoD: ✗ Missing
  Approach:    ✗ Missing
  Desc length: 245 chars
No external enrichment found — enrich from Jira description.</t>
        </is>
      </c>
      <c r="K69"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69"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Unauthorised users cannot perform the restricted action.
• Permitted users can perform the action without friction.
• Validation error message is clear and actionable.
Approach
• Identify the action to be restricted and the permitted user set
• Add role / permission check in the relevant service handler
• Return appropriate 403/422 error with clear message for blocked users
• Add unit test covering permitted and blocked cases
• Verify in backoffice that blocked UI elements are hidden or disabled</t>
        </is>
      </c>
    </row>
    <row r="70" ht="90" customHeight="1" s="44">
      <c r="A70" s="42" t="inlineStr">
        <is>
          <t>Epic: Miscellaneous / Unassigned</t>
        </is>
      </c>
      <c r="B70" s="43" t="inlineStr">
        <is>
          <t>Various</t>
        </is>
      </c>
      <c r="C70" s="20" t="inlineStr">
        <is>
          <t>MFT-1688</t>
        </is>
      </c>
      <c r="D70" s="21" t="inlineStr">
        <is>
          <t>MFT-1688</t>
        </is>
      </c>
      <c r="E70" s="22" t="inlineStr">
        <is>
          <t>Improve reconciliation job and setup alerts + reports</t>
        </is>
      </c>
      <c r="F70" s="107" t="inlineStr">
        <is>
          <t>Done</t>
        </is>
      </c>
      <c r="G70" s="101" t="inlineStr">
        <is>
          <t>Alex Shchepetilnikov</t>
        </is>
      </c>
      <c r="H70" s="154" t="inlineStr">
        <is>
          <t>Partial (2 missing)</t>
        </is>
      </c>
      <c r="I70" s="155" t="inlineStr">
        <is>
          <t>🟠 NEEDS CLARITY</t>
        </is>
      </c>
      <c r="J70" s="99" t="inlineStr">
        <is>
          <t>Template Assessment:
  Context:     ✗ Missing
  Outcome/DoD: ✗ Missing
  Approach:    ✓ Present
  Desc length: 6558 chars
Enrichment available:
  • Granola (meeting notes)</t>
        </is>
      </c>
      <c r="K70"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t>
        </is>
      </c>
      <c r="L70" s="157" t="inlineStr">
        <is>
          <t>Context
Reconciliation accuracy: Capital was running parallel to Billing creating dual truth problem. Fix requires making billing SoT and eliminating Capital's own financial calculations.
Evidence: Meeting: OKR restructuring post-crisis includes billing SoT as key objective.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71" ht="90" customHeight="1" s="44">
      <c r="A71" s="42" t="inlineStr">
        <is>
          <t>Epic: Miscellaneous / Unassigned</t>
        </is>
      </c>
      <c r="B71" s="43" t="inlineStr">
        <is>
          <t>Various</t>
        </is>
      </c>
      <c r="C71" s="29" t="inlineStr">
        <is>
          <t>MFT-1716</t>
        </is>
      </c>
      <c r="D71" s="30" t="inlineStr">
        <is>
          <t>MFT-1716</t>
        </is>
      </c>
      <c r="E71" s="16" t="inlineStr">
        <is>
          <t>[Spike] Research alert failed to create dd repayments</t>
        </is>
      </c>
      <c r="F71" s="107" t="inlineStr">
        <is>
          <t>Done</t>
        </is>
      </c>
      <c r="G71" s="102" t="inlineStr">
        <is>
          <t>Alex Shchepetilnikov</t>
        </is>
      </c>
      <c r="H71" s="154" t="inlineStr">
        <is>
          <t>Partial (2 missing)</t>
        </is>
      </c>
      <c r="I71" s="155" t="inlineStr">
        <is>
          <t>🟠 NEEDS CLARITY</t>
        </is>
      </c>
      <c r="J71" s="99" t="inlineStr">
        <is>
          <t>Template Assessment:
  Context:     ✗ Missing
  Outcome/DoD: ✗ Missing
  Approach:    ✓ Present
  Desc length: 2307 chars
No external enrichment found — enrich from Jira description.</t>
        </is>
      </c>
      <c r="K71"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t>
        </is>
      </c>
      <c r="L71"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72" ht="90" customHeight="1" s="44">
      <c r="A72" s="42" t="inlineStr">
        <is>
          <t>Epic: Miscellaneous / Unassigned</t>
        </is>
      </c>
      <c r="B72" s="43" t="inlineStr">
        <is>
          <t>Various</t>
        </is>
      </c>
      <c r="C72" s="20" t="inlineStr">
        <is>
          <t>MFT-1717</t>
        </is>
      </c>
      <c r="D72" s="21" t="inlineStr">
        <is>
          <t>MFT-1717</t>
        </is>
      </c>
      <c r="E72" s="22" t="inlineStr">
        <is>
          <t>Prepare ADR and TDRs for this integration</t>
        </is>
      </c>
      <c r="F72" s="100" t="inlineStr">
        <is>
          <t>To DO</t>
        </is>
      </c>
      <c r="G72" s="101" t="inlineStr">
        <is>
          <t>Stanislav Kaychenkov</t>
        </is>
      </c>
      <c r="H72" s="154" t="inlineStr">
        <is>
          <t>Partial (1 missing)</t>
        </is>
      </c>
      <c r="I72" s="155" t="inlineStr">
        <is>
          <t>🟠 NEEDS CLARITY</t>
        </is>
      </c>
      <c r="J72" s="99" t="inlineStr">
        <is>
          <t>Template Assessment:
  Context:     ✓ Present
  Outcome/DoD: ✓ Present
  Approach:    ✗ Missing
  Desc length: 304 chars
No external enrichment found — enrich from Jira description.</t>
        </is>
      </c>
      <c r="K72" s="156" t="inlineStr">
        <is>
          <t>Add the following to the Jira description:
• APPROACH — How will this be implemented?
  List the implementation steps, services affected, and dependencies.
  Note any blockers or prerequisites.</t>
        </is>
      </c>
      <c r="L72" s="157" t="inlineStr">
        <is>
          <t>Context
To avoid situations with start_date on last stage of integration we should prepare ADR with all details about fields and handlers which we are going to be use from billing.
Outcome/Definition of Done
We have ADR about billing integration and it’s aligned with Billing team and architect
Appr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73" ht="90" customHeight="1" s="44">
      <c r="A73" s="42" t="inlineStr">
        <is>
          <t>Epic: Miscellaneous / Unassigned</t>
        </is>
      </c>
      <c r="B73" s="43" t="inlineStr">
        <is>
          <t>Various</t>
        </is>
      </c>
      <c r="C73" s="29" t="inlineStr">
        <is>
          <t>MFT-1738</t>
        </is>
      </c>
      <c r="D73" s="30" t="inlineStr">
        <is>
          <t>MFT-1738</t>
        </is>
      </c>
      <c r="E73" s="16" t="inlineStr">
        <is>
          <t>[QA] Installment Date &amp; Amount Parity Validation</t>
        </is>
      </c>
      <c r="F73" s="100" t="inlineStr">
        <is>
          <t>To DO</t>
        </is>
      </c>
      <c r="G73" s="102" t="inlineStr">
        <is>
          <t>Lusine Karapetyan</t>
        </is>
      </c>
      <c r="H73" s="154" t="inlineStr">
        <is>
          <t>✗ All missing</t>
        </is>
      </c>
      <c r="I73" s="155" t="inlineStr">
        <is>
          <t>🟠 NEEDS CLARITY</t>
        </is>
      </c>
      <c r="J73" s="99" t="inlineStr">
        <is>
          <t>Template Assessment:
  Context:     ✗ Missing
  Outcome/DoD: ✗ Missing
  Approach:    ✗ Missing
  Desc length: 438 chars
Enrichment available:
  • BigQuery (frf)
  • Granola (meeting notes)</t>
        </is>
      </c>
      <c r="K73" s="156"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73" s="157" t="inlineStr">
        <is>
          <t>Context
QA model: zero unit tests for billing integration allowed start date bug to run 3 months undetected. CTO demanded three plans including QA improvement.
Evidence: Meeting: 'All loans since November 5th had incorrect start dates — zero unit tests for billing integration.'
BQ data for FRF analysis: BQ context: installments use P1M/P1W/P2W periods, virtual_card_installments P1M only. Date and amount parity validation must cover all period variants — a single installment date formula won't work across all product types.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74" ht="90" customHeight="1" s="44">
      <c r="A74" s="42" t="inlineStr">
        <is>
          <t>Epic: Miscellaneous / Unassigned</t>
        </is>
      </c>
      <c r="B74" s="43" t="inlineStr">
        <is>
          <t>Various</t>
        </is>
      </c>
      <c r="C74" s="20" t="inlineStr">
        <is>
          <t>MFT-1739</t>
        </is>
      </c>
      <c r="D74" s="21" t="inlineStr">
        <is>
          <t>MFT-1739</t>
        </is>
      </c>
      <c r="E74" s="22" t="inlineStr">
        <is>
          <t>[QA] Switch off Capital entities</t>
        </is>
      </c>
      <c r="F74" s="100" t="inlineStr">
        <is>
          <t>To DO</t>
        </is>
      </c>
      <c r="G74" s="101" t="inlineStr">
        <is>
          <t>Lusine Karapetyan</t>
        </is>
      </c>
      <c r="H74" s="154" t="inlineStr">
        <is>
          <t>Partial (2 missing)</t>
        </is>
      </c>
      <c r="I74" s="155" t="inlineStr">
        <is>
          <t>🟠 NEEDS CLARITY</t>
        </is>
      </c>
      <c r="J74" s="99" t="inlineStr">
        <is>
          <t>Template Assessment:
  Context:     ✓ Present
  Outcome/DoD: ✗ Missing
  Approach:    ✗ Missing
  Desc length: 384 chars
Enrichment available:
  • Granola (meeting notes)</t>
        </is>
      </c>
      <c r="K74" s="156" t="inlineStr">
        <is>
          <t>Add the following to the Jira description: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74" s="157" t="inlineStr">
        <is>
          <t>Context
QA improvement plan — part of CTO's three-plan mandate. Loan state machine docs, three amigos approach, golden flow monitoring framework.
Evidence: CTO demanded: financial services-grade QA, no releases without QA model in place.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75" ht="90" customHeight="1" s="44">
      <c r="A75" s="42" t="inlineStr">
        <is>
          <t>Epic: Miscellaneous / Unassigned</t>
        </is>
      </c>
      <c r="B75" s="43" t="inlineStr">
        <is>
          <t>Various</t>
        </is>
      </c>
      <c r="C75" s="29" t="inlineStr">
        <is>
          <t>MFT-1740</t>
        </is>
      </c>
      <c r="D75" s="30" t="inlineStr">
        <is>
          <t>MFT-1740</t>
        </is>
      </c>
      <c r="E75" s="16" t="inlineStr">
        <is>
          <t>[QA] Loan State &amp; Proxy Validation</t>
        </is>
      </c>
      <c r="F75" s="100" t="inlineStr">
        <is>
          <t>To DO</t>
        </is>
      </c>
      <c r="G75" s="102" t="inlineStr">
        <is>
          <t>Lusine Karapetyan</t>
        </is>
      </c>
      <c r="H75" s="154" t="inlineStr">
        <is>
          <t>Partial (2 missing)</t>
        </is>
      </c>
      <c r="I75" s="155" t="inlineStr">
        <is>
          <t>🟠 NEEDS CLARITY</t>
        </is>
      </c>
      <c r="J75" s="99" t="inlineStr">
        <is>
          <t>Template Assessment:
  Context:     ✗ Missing
  Outcome/DoD: ✓ Present
  Approach:    ✗ Missing
  Desc length: 358 chars
Enrichment available:
  • BigQuery (loan_state)
  • Granola (meeting notes)</t>
        </is>
      </c>
      <c r="K75"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75" s="157" t="inlineStr">
        <is>
          <t>Context
QA/testing — loan state machine documentation required. Information was only in staff memory, not documented. Three amigos approach to catch integration issues.
Evidence: Meeting: 'information only in staff memory, not documented' — root cause of undetected bugs.
BQ data shows the loan state discrepancy: BQ context: Loan state proxy validation is critical — 27M+ virtual_card and 19M+ installment loans currently show contradictory is_active/is_closed=TRUE states. QA must validate that proxy correctly returns unified state from billing.
Outcome/Definition of Done
• Loan state transitions driven exclusively by the correct service.
• No dual-write or race conditions between Capital and Billing.
• Integration test confirms correct state machine behaviour end-to-end.
Approach
• Map current Capital loan state machine and identify autonomous transition logic
• Implement handler to receive CLOSE / state-change event from Billing service
• Remove Capital-owned closure/state logic that duplicates Billing decision
• Add integration test covering the full event-driven state transition flow
• Validate in staging with test loans across all product types
• Add monitoring: alert if Capital state diverges from Billing state for &gt;1h</t>
        </is>
      </c>
    </row>
    <row r="76" ht="90" customHeight="1" s="44">
      <c r="A76" s="42" t="inlineStr">
        <is>
          <t>Epic: Miscellaneous / Unassigned</t>
        </is>
      </c>
      <c r="B76" s="43" t="inlineStr">
        <is>
          <t>Various</t>
        </is>
      </c>
      <c r="C76" s="20" t="inlineStr">
        <is>
          <t>MFT-1741</t>
        </is>
      </c>
      <c r="D76" s="21" t="inlineStr">
        <is>
          <t>MFT-1741</t>
        </is>
      </c>
      <c r="E76" s="22" t="inlineStr">
        <is>
          <t>[QA] Payout Schedule Controls Validation</t>
        </is>
      </c>
      <c r="F76" s="100" t="inlineStr">
        <is>
          <t>To DO</t>
        </is>
      </c>
      <c r="G76" s="101" t="inlineStr">
        <is>
          <t>Lusine Karapetyan</t>
        </is>
      </c>
      <c r="H76" s="154" t="inlineStr">
        <is>
          <t>Partial (2 missing)</t>
        </is>
      </c>
      <c r="I76" s="155" t="inlineStr">
        <is>
          <t>🟠 NEEDS CLARITY</t>
        </is>
      </c>
      <c r="J76" s="99" t="inlineStr">
        <is>
          <t>Template Assessment:
  Context:     ✗ Missing
  Outcome/DoD: ✓ Present
  Approach:    ✗ Missing
  Desc length: 339 chars
Enrichment available:
  • Granola (meeting notes)</t>
        </is>
      </c>
      <c r="K76"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76" s="157" t="inlineStr">
        <is>
          <t>Context
QA testing framework — part of post-crisis improvement plan. Loan state machine docs, three amigos, golden flow monitoring.
Evidence: Issues undetected for months: no unit tests, no monitoring, no documentation.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77" ht="90" customHeight="1" s="44">
      <c r="A77" s="42" t="inlineStr">
        <is>
          <t>Epic: Miscellaneous / Unassigned</t>
        </is>
      </c>
      <c r="B77" s="43" t="inlineStr">
        <is>
          <t>Various</t>
        </is>
      </c>
      <c r="C77" s="29" t="inlineStr">
        <is>
          <t>MFT-1742</t>
        </is>
      </c>
      <c r="D77" s="30" t="inlineStr">
        <is>
          <t>MFT-1742</t>
        </is>
      </c>
      <c r="E77" s="16" t="inlineStr">
        <is>
          <t>[QA] Reconciliation &amp; Monitoring Safeguards</t>
        </is>
      </c>
      <c r="F77" s="100" t="inlineStr">
        <is>
          <t>To DO</t>
        </is>
      </c>
      <c r="G77" s="102" t="inlineStr">
        <is>
          <t>Lusine Karapetyan</t>
        </is>
      </c>
      <c r="H77" s="154" t="inlineStr">
        <is>
          <t>Partial (2 missing)</t>
        </is>
      </c>
      <c r="I77" s="155" t="inlineStr">
        <is>
          <t>🟠 NEEDS CLARITY</t>
        </is>
      </c>
      <c r="J77" s="99" t="inlineStr">
        <is>
          <t>Template Assessment:
  Context:     ✗ Missing
  Outcome/DoD: ✓ Present
  Approach:    ✗ Missing
  Desc length: 304 chars
Enrichment available:
  • Granola (meeting notes)</t>
        </is>
      </c>
      <c r="K77"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77" s="157" t="inlineStr">
        <is>
          <t>Context
Reconciliation QA: no unit tests existed for billing integration. Issues undetected for months. Three amigos approach introduced post-crisis.
Evidence: All loans since November 5th had incorrect start dates — zero unit tests for billing integration.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78" ht="90" customHeight="1" s="44">
      <c r="A78" s="42" t="inlineStr">
        <is>
          <t>Epic: Miscellaneous / Unassigned</t>
        </is>
      </c>
      <c r="B78" s="43" t="inlineStr">
        <is>
          <t>Various</t>
        </is>
      </c>
      <c r="C78" s="20" t="inlineStr">
        <is>
          <t>MFT-1749</t>
        </is>
      </c>
      <c r="D78" s="21" t="inlineStr">
        <is>
          <t>MFT-1749</t>
        </is>
      </c>
      <c r="E78" s="22" t="inlineStr">
        <is>
          <t>create monitor for application submission deadlock</t>
        </is>
      </c>
      <c r="F78" s="100" t="inlineStr">
        <is>
          <t>To DO</t>
        </is>
      </c>
      <c r="G78" s="101" t="inlineStr">
        <is>
          <t>Stanislav Kaychenkov</t>
        </is>
      </c>
      <c r="H78" s="154" t="inlineStr">
        <is>
          <t>Partial (2 missing)</t>
        </is>
      </c>
      <c r="I78" s="155" t="inlineStr">
        <is>
          <t>🟠 NEEDS CLARITY</t>
        </is>
      </c>
      <c r="J78" s="99" t="inlineStr">
        <is>
          <t>Template Assessment:
  Context:     ✗ Missing
  Outcome/DoD: ✓ Present
  Approach:    ✗ Missing
  Desc length: 276 chars
Enrichment available:
  • Granola (meeting notes)</t>
        </is>
      </c>
      <c r="K78"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78" s="157" t="inlineStr">
        <is>
          <t>Context
No alerts exist for loans stuck in status for days. 'Table stakes requirement — cannot scale without monitoring.' Specific task: repayment anomalies monitor (4 days, Stas).
Evidence: 181.6M in 'created' status repayments; 168.9M older than 30 days — no alerts fired.
Outcome/Definition of Done
Monitor triggers if application is in 
submitted
 status &gt; 1 hour without CRM/HD entity or Helpdesk ticket.
Alert is sent to on-call engineers (P2 severity).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79" ht="90" customHeight="1" s="44">
      <c r="A79" s="42" t="inlineStr">
        <is>
          <t>Epic: Miscellaneous / Unassigned</t>
        </is>
      </c>
      <c r="B79" s="43" t="inlineStr">
        <is>
          <t>Various</t>
        </is>
      </c>
      <c r="C79" s="29" t="inlineStr">
        <is>
          <t>MFT-1750</t>
        </is>
      </c>
      <c r="D79" s="30" t="inlineStr">
        <is>
          <t>MFT-1750</t>
        </is>
      </c>
      <c r="E79" s="16" t="inlineStr">
        <is>
          <t>create monitor for application stuck in underwriting</t>
        </is>
      </c>
      <c r="F79" s="100" t="inlineStr">
        <is>
          <t>To DO</t>
        </is>
      </c>
      <c r="G79" s="102" t="inlineStr">
        <is>
          <t>Stanislav Kaychenkov</t>
        </is>
      </c>
      <c r="H79" s="154" t="inlineStr">
        <is>
          <t>Partial (2 missing)</t>
        </is>
      </c>
      <c r="I79" s="155" t="inlineStr">
        <is>
          <t>🟠 NEEDS CLARITY</t>
        </is>
      </c>
      <c r="J79" s="99" t="inlineStr">
        <is>
          <t>Template Assessment:
  Context:     ✗ Missing
  Outcome/DoD: ✓ Present
  Approach:    ✗ Missing
  Desc length: 238 chars
Enrichment available:
  • Granola (meeting notes)</t>
        </is>
      </c>
      <c r="K79"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79" s="157" t="inlineStr">
        <is>
          <t>Context
Disbursement/activation monitoring: specific task mentioned in meeting as 3-day implementation. 'Golden flow' approach: alert when loans pending &gt;1 day.
Evidence: No alerts existed when start date bug affected all loans since November for 3 months.
Outcome/Definition of Done
Monitor detects applications in 
submitted
 state &gt; 7 days.
Alert is triggered with application IDs and duration.
Alert severity matches P2.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80" ht="90" customHeight="1" s="44">
      <c r="A80" s="42" t="inlineStr">
        <is>
          <t>Epic: Miscellaneous / Unassigned</t>
        </is>
      </c>
      <c r="B80" s="43" t="inlineStr">
        <is>
          <t>Various</t>
        </is>
      </c>
      <c r="C80" s="20" t="inlineStr">
        <is>
          <t>MFT-1751</t>
        </is>
      </c>
      <c r="D80" s="21" t="inlineStr">
        <is>
          <t>MFT-1751</t>
        </is>
      </c>
      <c r="E80" s="22" t="inlineStr">
        <is>
          <t>create monitor for application stuck in loan issuance</t>
        </is>
      </c>
      <c r="F80" s="100" t="inlineStr">
        <is>
          <t>To DO</t>
        </is>
      </c>
      <c r="G80" s="101" t="inlineStr">
        <is>
          <t>Stanislav Kaychenkov</t>
        </is>
      </c>
      <c r="H80" s="154" t="inlineStr">
        <is>
          <t>Partial (2 missing)</t>
        </is>
      </c>
      <c r="I80" s="155" t="inlineStr">
        <is>
          <t>🟠 NEEDS CLARITY</t>
        </is>
      </c>
      <c r="J80" s="99" t="inlineStr">
        <is>
          <t>Template Assessment:
  Context:     ✗ Missing
  Outcome/DoD: ✓ Present
  Approach:    ✗ Missing
  Desc length: 290 chars
Enrichment available:
  • Granola (meeting notes)</t>
        </is>
      </c>
      <c r="K80"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80" s="157" t="inlineStr">
        <is>
          <t>Context
DD integration monitoring: 2-day task per meeting notes. Part of 'golden flow' monitoring framework demanded by CTO after red card incident.
Evidence: Issues were undetected for months due to lack of monitoring — only discovered during manual reconciliation.
Outcome/Definition of Done
Monitor correlates contract signed + DD mandate signed events with loan issuance.
Alert triggers if no loan is issued within 3 days.
Alert contains merchant/loan identifiers.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81" ht="90" customHeight="1" s="44">
      <c r="A81" s="42" t="inlineStr">
        <is>
          <t>Epic: Miscellaneous / Unassigned</t>
        </is>
      </c>
      <c r="B81" s="43" t="inlineStr">
        <is>
          <t>Various</t>
        </is>
      </c>
      <c r="C81" s="29" t="inlineStr">
        <is>
          <t>MFT-1789</t>
        </is>
      </c>
      <c r="D81" s="30" t="inlineStr">
        <is>
          <t>MFT-1789</t>
        </is>
      </c>
      <c r="E81" s="16" t="inlineStr">
        <is>
          <t>Add customers checks</t>
        </is>
      </c>
      <c r="F81" s="100" t="inlineStr">
        <is>
          <t>To DO</t>
        </is>
      </c>
      <c r="G81" s="102" t="inlineStr">
        <is>
          <t>szymon.giermakowski</t>
        </is>
      </c>
      <c r="H81" s="154" t="inlineStr">
        <is>
          <t>Partial (2 missing)</t>
        </is>
      </c>
      <c r="I81" s="155" t="inlineStr">
        <is>
          <t>🟠 NEEDS CLARITY</t>
        </is>
      </c>
      <c r="J81" s="99" t="inlineStr">
        <is>
          <t>Template Assessment:
  Context:     ✗ Missing
  Outcome/DoD: ✓ Present
  Approach:    ✗ Missing
  Desc length: 392 chars
Enrichment available:
  • Granola (meeting notes)</t>
        </is>
      </c>
      <c r="K81"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81" s="157" t="inlineStr">
        <is>
          <t>Context
Reconciliation task — part of post-crisis cleanup and automated reconciliation initiative.
Evidence: CTO: automated reconciliation hourly required for financial-services-grade operation.
Outcome/Definition of Done
Script retrieves all partners with active Capital loans.
Script verifies existence of at least one Billing customer (by LE or merchant_id).
Missing customers are reported in reconciliation output.
Reconciliation result is logged and exposed for alerting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82" ht="90" customHeight="1" s="44">
      <c r="A82" s="42" t="inlineStr">
        <is>
          <t>Epic: Miscellaneous / Unassigned</t>
        </is>
      </c>
      <c r="B82" s="43" t="inlineStr">
        <is>
          <t>Various</t>
        </is>
      </c>
      <c r="C82" s="20" t="inlineStr">
        <is>
          <t>MFT-1790</t>
        </is>
      </c>
      <c r="D82" s="21" t="inlineStr">
        <is>
          <t>MFT-1790</t>
        </is>
      </c>
      <c r="E82" s="22" t="inlineStr">
        <is>
          <t>Add wallet checks</t>
        </is>
      </c>
      <c r="F82" s="100" t="inlineStr">
        <is>
          <t>To DO</t>
        </is>
      </c>
      <c r="G82" s="101" t="inlineStr">
        <is>
          <t>szymon.giermakowski</t>
        </is>
      </c>
      <c r="H82" s="154" t="inlineStr">
        <is>
          <t>Partial (2 missing)</t>
        </is>
      </c>
      <c r="I82" s="155" t="inlineStr">
        <is>
          <t>🟠 NEEDS CLARITY</t>
        </is>
      </c>
      <c r="J82" s="99" t="inlineStr">
        <is>
          <t>Template Assessment:
  Context:     ✗ Missing
  Outcome/DoD: ✓ Present
  Approach:    ✗ Missing
  Desc length: 347 chars
Enrichment available:
  • Granola (meeting notes)</t>
        </is>
      </c>
      <c r="K82"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82" s="157" t="inlineStr">
        <is>
          <t>Context
Reconciliation task — ensuring Capital and Billing agree on loan calculations.
Evidence: $0.01 rounding differences and calculation discrepancies found in 190 loan reconciliation.
Outcome/Definition of Done
Script retrieves Real wallet balances from Billing.
Script verifies balance == 0 for all relevant customers.
Any non-zero balance is reported with customer ID and amount.
Reconciliation failure triggers monitoring alert.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83" ht="90" customHeight="1" s="44">
      <c r="A83" s="42" t="inlineStr">
        <is>
          <t>Epic: Miscellaneous / Unassigned</t>
        </is>
      </c>
      <c r="B83" s="43" t="inlineStr">
        <is>
          <t>Various</t>
        </is>
      </c>
      <c r="C83" s="29" t="inlineStr">
        <is>
          <t>MFT-1791</t>
        </is>
      </c>
      <c r="D83" s="30" t="inlineStr">
        <is>
          <t>MFT-1791</t>
        </is>
      </c>
      <c r="E83" s="16" t="inlineStr">
        <is>
          <t>Add number of loans checks</t>
        </is>
      </c>
      <c r="F83" s="100" t="inlineStr">
        <is>
          <t>To DO</t>
        </is>
      </c>
      <c r="G83" s="102" t="inlineStr">
        <is>
          <t>szymon.giermakowski</t>
        </is>
      </c>
      <c r="H83" s="154" t="inlineStr">
        <is>
          <t>Partial (1 missing)</t>
        </is>
      </c>
      <c r="I83" s="155" t="inlineStr">
        <is>
          <t>🟠 NEEDS CLARITY</t>
        </is>
      </c>
      <c r="J83" s="99" t="inlineStr">
        <is>
          <t>Template Assessment:
  Context:     ✓ Present
  Outcome/DoD: ✓ Present
  Approach:    ✗ Missing
  Desc length: 539 chars
Enrichment available:
  • Granola (meeting notes)</t>
        </is>
      </c>
      <c r="K83" s="156" t="inlineStr">
        <is>
          <t>Add the following to the Jira description:
• APPROACH — How will this be implemented?
  List the implementation steps, services affected, and dependencies.
  Note any blockers or prerequisites.</t>
        </is>
      </c>
      <c r="L83" s="157" t="inlineStr">
        <is>
          <t>Context
Reconciliation task — part of making billing the single source of truth for financial calculations.
Evidence: Billing SoT eliminates need for reconciliation long-term; short-term requires cleanup.
Outcome/Definition of Done
The reconciliation script should return discrepancy cases in the following situations:
There are loans in Capital at the LE or merchant_id (m_id) level that do not exist in Billing.
There are loans in Billing at the customer level for the same LE or merchant_id (m_id) that do not exist in Capital.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84" ht="90" customHeight="1" s="44">
      <c r="A84" s="42" t="inlineStr">
        <is>
          <t>Epic: Miscellaneous / Unassigned</t>
        </is>
      </c>
      <c r="B84" s="43" t="inlineStr">
        <is>
          <t>Various</t>
        </is>
      </c>
      <c r="C84" s="20" t="inlineStr">
        <is>
          <t>MFT-1792</t>
        </is>
      </c>
      <c r="D84" s="21" t="inlineStr">
        <is>
          <t>MFT-1792</t>
        </is>
      </c>
      <c r="E84" s="22" t="inlineStr">
        <is>
          <t>Add repayment count checks</t>
        </is>
      </c>
      <c r="F84" s="100" t="inlineStr">
        <is>
          <t>To DO</t>
        </is>
      </c>
      <c r="G84" s="101" t="inlineStr">
        <is>
          <t>szymon.giermakowski</t>
        </is>
      </c>
      <c r="H84" s="154" t="inlineStr">
        <is>
          <t>Partial (2 missing)</t>
        </is>
      </c>
      <c r="I84" s="155" t="inlineStr">
        <is>
          <t>🟠 NEEDS CLARITY</t>
        </is>
      </c>
      <c r="J84" s="99" t="inlineStr">
        <is>
          <t>Template Assessment:
  Context:     ✗ Missing
  Outcome/DoD: ✓ Present
  Approach:    ✗ Missing
  Desc length: 276 chars
Enrichment available:
  • Granola (meeting notes)</t>
        </is>
      </c>
      <c r="K84"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84" s="157" t="inlineStr">
        <is>
          <t>Context
Reconciliation task — cleanup of historical mismatches between Capital and Billing.
Evidence: 190 loan mismatches found; plan to fix until clean before automating job.
Outcome/Definition of Done
Script retrieves repayments from both systems.
Counts must match per loan.
Discrepancies are reported per loan.
Alert triggered if mismatch detected.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85" ht="90" customHeight="1" s="44">
      <c r="A85" s="42" t="inlineStr">
        <is>
          <t>Epic: Miscellaneous / Unassigned</t>
        </is>
      </c>
      <c r="B85" s="43" t="inlineStr">
        <is>
          <t>Various</t>
        </is>
      </c>
      <c r="C85" s="29" t="inlineStr">
        <is>
          <t>MFT-1793</t>
        </is>
      </c>
      <c r="D85" s="30" t="inlineStr">
        <is>
          <t>MFT-1793</t>
        </is>
      </c>
      <c r="E85" s="16" t="inlineStr">
        <is>
          <t>Remove loan and repayment amount checks</t>
        </is>
      </c>
      <c r="F85" s="100" t="inlineStr">
        <is>
          <t>To DO</t>
        </is>
      </c>
      <c r="G85" s="102" t="inlineStr">
        <is>
          <t>szymon.giermakowski</t>
        </is>
      </c>
      <c r="H85" s="154" t="inlineStr">
        <is>
          <t>Partial (1 missing)</t>
        </is>
      </c>
      <c r="I85" s="155" t="inlineStr">
        <is>
          <t>🟠 NEEDS CLARITY</t>
        </is>
      </c>
      <c r="J85" s="99" t="inlineStr">
        <is>
          <t>Template Assessment:
  Context:     ✗ Missing
  Outcome/DoD: ✓ Present
  Approach:    ✓ Present
  Desc length: 1782 chars
Enrichment available:
  • Granola (meeting notes)</t>
        </is>
      </c>
      <c r="K85" s="156" t="inlineStr">
        <is>
          <t>Add the following to the Jira description:
• CONTEXT — Why is this task needed?
  Explain the incident/problem that triggered this work.
  Link to the red card incident (Feb 2026), CTO mandate, or specific BQ data.</t>
        </is>
      </c>
      <c r="L85" s="157" t="inlineStr">
        <is>
          <t>Context
Reconciliation task — part of automated reconciliation framework.
Evidence: Reconciliation checker rollout: run on prod, fix until clean, convert to hourly/daily automated job.
Outcome/Definition of Done
(Definition of Done)
Loan amount comparison between Billing and Capital is removed or disabled in reconciliation jobs.
Repayment amount comparison between Billing and Capital is removed or disabled in reconciliation jobs.
Reconciliation job completes successfully without these checks.
Reconciliation report/output no longer contains amount mismatch findings for loans and repayments.
Monitoring/alerts are updated so that amount mismatches no longer trigger reconciliation failures.
Documentation (or README for reconciliation jobs) is updated to reflect the new reconciliation scope and limitations.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86" ht="90" customHeight="1" s="44">
      <c r="A86" s="42" t="inlineStr">
        <is>
          <t>Epic: Miscellaneous / Unassigned</t>
        </is>
      </c>
      <c r="B86" s="43" t="inlineStr">
        <is>
          <t>Various</t>
        </is>
      </c>
      <c r="C86" s="20" t="inlineStr">
        <is>
          <t>MFT-1794</t>
        </is>
      </c>
      <c r="D86" s="21" t="inlineStr">
        <is>
          <t>MFT-1794</t>
        </is>
      </c>
      <c r="E86" s="22" t="inlineStr">
        <is>
          <t>Add repayment and installment check</t>
        </is>
      </c>
      <c r="F86" s="100" t="inlineStr">
        <is>
          <t>To DO</t>
        </is>
      </c>
      <c r="G86" s="101" t="inlineStr">
        <is>
          <t>Vladislav Nikolaev</t>
        </is>
      </c>
      <c r="H86" s="154" t="inlineStr">
        <is>
          <t>Partial (2 missing)</t>
        </is>
      </c>
      <c r="I86" s="155" t="inlineStr">
        <is>
          <t>🟠 NEEDS CLARITY</t>
        </is>
      </c>
      <c r="J86" s="99" t="inlineStr">
        <is>
          <t>Template Assessment:
  Context:     ✗ Missing
  Outcome/DoD: ✓ Present
  Approach:    ✗ Missing
  Desc length: 334 chars
Enrichment available:
  • Granola (meeting notes)</t>
        </is>
      </c>
      <c r="K86"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86" s="157" t="inlineStr">
        <is>
          <t>Context
Reconciliation task — financial accuracy between Capital and Billing systems.
Evidence: Meeting: OKR restructuring includes billing SoT and automated reconciliation as key objectives.
Outcome/Definition of Done
Script retrieves repayments from Capital and installments from Reem API.
For each repayment, corresponding installment must be marked as paid.
Amounts must match exactly.
Mismatches are logged and reported.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87" ht="90" customHeight="1" s="44">
      <c r="A87" s="42" t="inlineStr">
        <is>
          <t>Epic: Miscellaneous / Unassigned</t>
        </is>
      </c>
      <c r="B87" s="43" t="inlineStr">
        <is>
          <t>Various</t>
        </is>
      </c>
      <c r="C87" s="29" t="inlineStr">
        <is>
          <t>MFT-1799</t>
        </is>
      </c>
      <c r="D87" s="30" t="inlineStr">
        <is>
          <t>MFT-1799</t>
        </is>
      </c>
      <c r="E87" s="16" t="inlineStr">
        <is>
          <t>Implement BS file uploader</t>
        </is>
      </c>
      <c r="F87" s="100" t="inlineStr">
        <is>
          <t>To DO</t>
        </is>
      </c>
      <c r="G87" s="102" t="inlineStr">
        <is>
          <t>Nikola Lukic</t>
        </is>
      </c>
      <c r="H87" s="154" t="inlineStr">
        <is>
          <t>Partial (1 missing)</t>
        </is>
      </c>
      <c r="I87" s="155" t="inlineStr">
        <is>
          <t>🟠 NEEDS CLARITY</t>
        </is>
      </c>
      <c r="J87" s="99" t="inlineStr">
        <is>
          <t>Template Assessment:
  Context:     ✓ Present
  Outcome/DoD: ✓ Present
  Approach:    ✗ Missing
  Desc length: 328 chars
Enrichment available:
  • Granola (meeting notes)</t>
        </is>
      </c>
      <c r="K87" s="156" t="inlineStr">
        <is>
          <t>Add the following to the Jira description:
• APPROACH — How will this be implemented?
  List the implementation steps, services affected, and dependencies.
  Note any blockers or prerequisites.</t>
        </is>
      </c>
      <c r="L87" s="157" t="inlineStr">
        <is>
          <t>Context
Reconciliation task — part of Jenya's reconciliation checker job rollout.
Evidence: Reconciliation checker: run on prod, fix until clean, convert to hourly/daily automated job.
Outcome/Definition of Done
Script verifies new bank statement file presence in bucket.
File must be parsed and saved into Capital DB table.
Parsing failures are logged and reported.
Missing uploads trigger reconciliation failure.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88" ht="90" customHeight="1" s="44">
      <c r="A88" s="42" t="inlineStr">
        <is>
          <t>Epic: Miscellaneous / Unassigned</t>
        </is>
      </c>
      <c r="B88" s="43" t="inlineStr">
        <is>
          <t>Various</t>
        </is>
      </c>
      <c r="C88" s="20" t="inlineStr">
        <is>
          <t>MFT-1800</t>
        </is>
      </c>
      <c r="D88" s="21" t="inlineStr">
        <is>
          <t>MFT-1800</t>
        </is>
      </c>
      <c r="E88" s="22" t="inlineStr">
        <is>
          <t>Implement transaction parsing from BS</t>
        </is>
      </c>
      <c r="F88" s="100" t="inlineStr">
        <is>
          <t>To DO</t>
        </is>
      </c>
      <c r="G88" s="101" t="inlineStr">
        <is>
          <t>Nikola Lukic</t>
        </is>
      </c>
      <c r="H88" s="154" t="inlineStr">
        <is>
          <t>✓ Complete</t>
        </is>
      </c>
      <c r="I88" s="163" t="inlineStr">
        <is>
          <t>🟢 READY</t>
        </is>
      </c>
      <c r="J88" s="99" t="inlineStr">
        <is>
          <t>Template Assessment:
  Context:     ✓ Present
  Outcome/DoD: ✓ Present
  Approach:    ✓ Present
  Desc length: 2220 chars
Enrichment available:
  • Granola (meeting notes)</t>
        </is>
      </c>
      <c r="K88" s="156" t="inlineStr">
        <is>
          <t>✓ Description meets template standard. No changes required.</t>
        </is>
      </c>
      <c r="L88" s="157" t="inlineStr">
        <is>
          <t>Context
Bank statements are the source of truth for actual cash movements. To enable Billing ↔ Bank Statement reconciliation, we need a reliable parser that ingests bank statement files from the bucket, extracts transactions, and stores them in a normalized format in the Capital database. Currently, we do not have a consistent, queryable representation of bank statement transactions, which blocks automated reconciliation and anomaly detection.
Outcome/Definition of Done
(Definition of Done)
A parser job can ingest a bank statement file from the bucket and write transactions into Capital DB.
A normalized table exists (or is updated) to store parsed transactions, including at minimum:
statement_id/file_id
, 
source_bank
, 
account_id
 (if available), 
transaction_date
, 
amount
, 
currency
, 
direction (credit/debit)
, 
description/raw_text
, 
raw_reference
 (if available), 
hash/dedup_key
, 
created_at
.
Parser is 
idempotent
: rerunning on the same file does not create duplicates (dedup based on deterministic key).
Parser stores a per-file processing record (status: success/failed + error message + processed_at + transaction_count).
On parsing failure, errors are logged with enough context to debug (file id/name, line/record if applicable).
Basic unit tests (or integration tests) cover at least: successful parse, empty/invalid file, duplicate processing.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89" ht="90" customHeight="1" s="44">
      <c r="A89" s="42" t="inlineStr">
        <is>
          <t>Epic: Miscellaneous / Unassigned</t>
        </is>
      </c>
      <c r="B89" s="43" t="inlineStr">
        <is>
          <t>Various</t>
        </is>
      </c>
      <c r="C89" s="29" t="inlineStr">
        <is>
          <t>MFT-1802</t>
        </is>
      </c>
      <c r="D89" s="30" t="inlineStr">
        <is>
          <t>MFT-1802</t>
        </is>
      </c>
      <c r="E89" s="16" t="inlineStr">
        <is>
          <t>Add reconciliation between Billing and BS transaction data</t>
        </is>
      </c>
      <c r="F89" s="100" t="inlineStr">
        <is>
          <t>To DO</t>
        </is>
      </c>
      <c r="G89" s="102" t="inlineStr">
        <is>
          <t>Nikola Lukic</t>
        </is>
      </c>
      <c r="H89" s="154" t="inlineStr">
        <is>
          <t>Partial (2 missing)</t>
        </is>
      </c>
      <c r="I89" s="155" t="inlineStr">
        <is>
          <t>🟠 NEEDS CLARITY</t>
        </is>
      </c>
      <c r="J89" s="99" t="inlineStr">
        <is>
          <t>Template Assessment:
  Context:     ✗ Missing
  Outcome/DoD: ✓ Present
  Approach:    ✗ Missing
  Desc length: 334 chars
Enrichment available:
  • Granola (meeting notes)</t>
        </is>
      </c>
      <c r="K89"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89" s="157" t="inlineStr">
        <is>
          <t>Context
Reconciliation task — part of cleanup and automation post-crisis.
Evidence: Meeting: reconciliation checker by Jenya, rollout to production, automate.
Outcome/Definition of Done
Script parses bank statement transactions.
Matches transactions with repayments by amount and date (≤ 24h tolerance).
Successfully matched repayments are marked as reconciled.
Unmatched transactions are reported.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90" ht="90" customHeight="1" s="44">
      <c r="A90" s="42" t="inlineStr">
        <is>
          <t>Epic: Miscellaneous / Unassigned</t>
        </is>
      </c>
      <c r="B90" s="43" t="inlineStr">
        <is>
          <t>Various</t>
        </is>
      </c>
      <c r="C90" s="20" t="inlineStr">
        <is>
          <t>MFT-1803</t>
        </is>
      </c>
      <c r="D90" s="21" t="inlineStr">
        <is>
          <t>MFT-1803</t>
        </is>
      </c>
      <c r="E90" s="22" t="inlineStr">
        <is>
          <t>Add check about not reconsiled repayment</t>
        </is>
      </c>
      <c r="F90" s="100" t="inlineStr">
        <is>
          <t>To DO</t>
        </is>
      </c>
      <c r="G90" s="101" t="inlineStr">
        <is>
          <t>Nikola Lukic</t>
        </is>
      </c>
      <c r="H90" s="154" t="inlineStr">
        <is>
          <t>Partial (2 missing)</t>
        </is>
      </c>
      <c r="I90" s="155" t="inlineStr">
        <is>
          <t>🟠 NEEDS CLARITY</t>
        </is>
      </c>
      <c r="J90" s="99" t="inlineStr">
        <is>
          <t>Template Assessment:
  Context:     ✗ Missing
  Outcome/DoD: ✓ Present
  Approach:    ✗ Missing
  Desc length: 279 chars
Enrichment available:
  • Granola (meeting notes)</t>
        </is>
      </c>
      <c r="K90"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90" s="157" t="inlineStr">
        <is>
          <t>Context
Reconciliation task — financial accuracy between Capital and Billing.
Evidence: CTO mandate: billing SoT in 2 weeks, automated reconciliation, no releases without QA.
Outcome/Definition of Done
Script checks repayment reconciliation status.
No repayment older than 7 days should remain unreconciled.
Violations are reported and trigger alert.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91" ht="90" customHeight="1" s="44">
      <c r="A91" s="42" t="inlineStr">
        <is>
          <t>Epic: Miscellaneous / Unassigned</t>
        </is>
      </c>
      <c r="B91" s="43" t="inlineStr">
        <is>
          <t>Various</t>
        </is>
      </c>
      <c r="C91" s="29" t="inlineStr">
        <is>
          <t>MFT-1804</t>
        </is>
      </c>
      <c r="D91" s="30" t="inlineStr">
        <is>
          <t>MFT-1804</t>
        </is>
      </c>
      <c r="E91" s="16" t="inlineStr">
        <is>
          <t>Add reconciliation between DD and BS data</t>
        </is>
      </c>
      <c r="F91" s="100" t="inlineStr">
        <is>
          <t>To DO</t>
        </is>
      </c>
      <c r="G91" s="102" t="inlineStr">
        <is>
          <t>szymon.giermakowski</t>
        </is>
      </c>
      <c r="H91" s="154" t="inlineStr">
        <is>
          <t>Partial (2 missing)</t>
        </is>
      </c>
      <c r="I91" s="155" t="inlineStr">
        <is>
          <t>🟠 NEEDS CLARITY</t>
        </is>
      </c>
      <c r="J91" s="99" t="inlineStr">
        <is>
          <t>Template Assessment:
  Context:     ✗ Missing
  Outcome/DoD: ✓ Present
  Approach:    ✗ Missing
  Desc length: 340 chars
Enrichment available:
  • Granola (meeting notes)</t>
        </is>
      </c>
      <c r="K91"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91" s="157" t="inlineStr">
        <is>
          <t>Context
Reconciliation task — part of financial services-grade operation requirements.
Evidence: 190 loan mismatches found through manual process — must become automated.
Outcome/Definition of Done
Script retrieves DD payments via API.
Script matches BS transactions with DD payments using reference ID, amount, and date.
All DD payments must have corresponding bank transaction.
Mismatches are reported.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92" ht="90" customHeight="1" s="44">
      <c r="A92" s="42" t="inlineStr">
        <is>
          <t>Epic: Miscellaneous / Unassigned</t>
        </is>
      </c>
      <c r="B92" s="43" t="inlineStr">
        <is>
          <t>Various</t>
        </is>
      </c>
      <c r="C92" s="20" t="inlineStr">
        <is>
          <t>MFT-1805</t>
        </is>
      </c>
      <c r="D92" s="21" t="inlineStr">
        <is>
          <t>MFT-1805</t>
        </is>
      </c>
      <c r="E92" s="22" t="inlineStr">
        <is>
          <t>[QA] Test framework integration - TDD test model generation</t>
        </is>
      </c>
      <c r="F92" s="100" t="inlineStr">
        <is>
          <t>To DO</t>
        </is>
      </c>
      <c r="G92" s="101" t="inlineStr">
        <is>
          <t>Lusine Karapetyan</t>
        </is>
      </c>
      <c r="H92" s="24" t="inlineStr">
        <is>
          <t>OK</t>
        </is>
      </c>
      <c r="I92" s="147" t="inlineStr">
        <is>
          <t>🟢 READY</t>
        </is>
      </c>
      <c r="J92" s="26" t="inlineStr">
        <is>
          <t>Length: 755 chars
Tier: OK — 755 chars — adequate
GitLab Reality:
Jira status: To DO.
Multi-source Context:
Needs review — not in v2 analysis.</t>
        </is>
      </c>
      <c r="K92" s="27" t="inlineStr">
        <is>
          <t>ADD: Formal Context, Outcome/Definition of Done, and Approach sections using the standard template. Link to relevant GitLab MR or design doc.</t>
        </is>
      </c>
      <c r="L92" s="28" t="inlineStr">
        <is>
          <t>Context
Needs review — not in v2 analysis. GitLab: Jira status: To DO.
Outcome/Definition of Done
[QA] Test framework integration - TDD test model generation is implemented, tested, and deployed. Acceptance criteria defined and verified.
Approach
• Define acceptance criteria and scope (add to Jira description)
• Design and implement solution
• Write unit and integration tests
• Deploy to staging and validate
• Deploy to production with rollback plan
• Verify with BQ/monitoring data</t>
        </is>
      </c>
    </row>
    <row r="93" ht="90" customHeight="1" s="44">
      <c r="A93" s="42" t="inlineStr">
        <is>
          <t>Epic: Miscellaneous / Unassigned</t>
        </is>
      </c>
      <c r="B93" s="43" t="inlineStr">
        <is>
          <t>Various</t>
        </is>
      </c>
      <c r="C93" s="29" t="inlineStr">
        <is>
          <t>MFT-1807</t>
        </is>
      </c>
      <c r="D93" s="30" t="inlineStr">
        <is>
          <t>MFT-1807</t>
        </is>
      </c>
      <c r="E93" s="16" t="inlineStr">
        <is>
          <t>[Spike] Research + ADR</t>
        </is>
      </c>
      <c r="F93" s="100" t="inlineStr">
        <is>
          <t>To DO</t>
        </is>
      </c>
      <c r="G93" s="102" t="inlineStr">
        <is>
          <t>Evgenii Tumanovskii</t>
        </is>
      </c>
      <c r="H93" s="162" t="inlineStr">
        <is>
          <t>Partial (2 missing)</t>
        </is>
      </c>
      <c r="I93" s="155" t="inlineStr">
        <is>
          <t>🟠 NEEDS CLARITY</t>
        </is>
      </c>
      <c r="J93" s="99" t="inlineStr">
        <is>
          <t>Template Assessment:
  Context:     ✗ Missing
  Outcome/DoD: ✓ Present
  Approach:    ✗ Missing
  Desc length: 69 chars
No external enrichment found — enrich from Jira description.</t>
        </is>
      </c>
      <c r="K93"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93"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ADR for changes in epic approved by Alex Dvorin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94" ht="90" customHeight="1" s="44">
      <c r="A94" s="42" t="inlineStr">
        <is>
          <t>Epic: Miscellaneous / Unassigned</t>
        </is>
      </c>
      <c r="B94" s="43" t="inlineStr">
        <is>
          <t>Various</t>
        </is>
      </c>
      <c r="C94" s="20" t="inlineStr">
        <is>
          <t>MFT-1808</t>
        </is>
      </c>
      <c r="D94" s="21" t="inlineStr">
        <is>
          <t>MFT-1808</t>
        </is>
      </c>
      <c r="E94" s="22" t="inlineStr">
        <is>
          <t>[Spike] TDRs (technical decision records)</t>
        </is>
      </c>
      <c r="F94" s="100" t="inlineStr">
        <is>
          <t>To DO</t>
        </is>
      </c>
      <c r="G94" s="101" t="inlineStr">
        <is>
          <t>Evgenii Tumanovskii</t>
        </is>
      </c>
      <c r="H94" s="159" t="inlineStr">
        <is>
          <t>Partial (1 missing)</t>
        </is>
      </c>
      <c r="I94" s="155" t="inlineStr">
        <is>
          <t>🟠 NEEDS CLARITY</t>
        </is>
      </c>
      <c r="J94" s="99" t="inlineStr">
        <is>
          <t>Template Assessment:
  Context:     ✗ Missing
  Outcome/DoD: ✓ Present
  Approach:    ✓ Present
  Desc length: 154 chars
No external enrichment found — enrich from Jira description.</t>
        </is>
      </c>
      <c r="K94" s="156" t="inlineStr">
        <is>
          <t>Add the following to the Jira description:
• CONTEXT — Why is this task needed?
  Explain the incident/problem that triggered this work.
  Link to the red card incident (Feb 2026), CTO mandate, or specific BQ data.</t>
        </is>
      </c>
      <c r="L94"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We need to have all important tech details documented and approved by related team if we are going to rely on some API or new fields from API
Approach
• Research existing implementation, identify gaps and alternatives
• Draft ADR / TDR with decision, rationale, and alternatives considered
• Share draft in Slack for async review (Billing team if cross-service)
• Incorporate feedback; get sign-off from tech lead / architect
• Link final document from this Jira ticket and relevant Confluence page</t>
        </is>
      </c>
    </row>
    <row r="95" ht="90" customHeight="1" s="44">
      <c r="A95" s="42" t="inlineStr">
        <is>
          <t>Epic: Miscellaneous / Unassigned</t>
        </is>
      </c>
      <c r="B95" s="43" t="inlineStr">
        <is>
          <t>Various</t>
        </is>
      </c>
      <c r="C95" s="29" t="inlineStr">
        <is>
          <t>MFT-1810</t>
        </is>
      </c>
      <c r="D95" s="30" t="inlineStr">
        <is>
          <t>MFT-1810</t>
        </is>
      </c>
      <c r="E95" s="16" t="inlineStr">
        <is>
          <t>[BE] Extract product repayment logic to separated module (engine)</t>
        </is>
      </c>
      <c r="F95" s="100" t="inlineStr">
        <is>
          <t>To DO</t>
        </is>
      </c>
      <c r="G95" s="102" t="inlineStr">
        <is>
          <t>Evgenii Tumanovskii</t>
        </is>
      </c>
      <c r="H95" s="154" t="inlineStr">
        <is>
          <t>Partial (1 missing)</t>
        </is>
      </c>
      <c r="I95" s="155" t="inlineStr">
        <is>
          <t>🟠 NEEDS CLARITY</t>
        </is>
      </c>
      <c r="J95" s="99" t="inlineStr">
        <is>
          <t>Template Assessment:
  Context:     ✓ Present
  Outcome/DoD: ✓ Present
  Approach:    ✗ Missing
  Desc length: 358 chars
Enrichment available:
  • Granola (meeting notes)</t>
        </is>
      </c>
      <c r="K95" s="156" t="inlineStr">
        <is>
          <t>Add the following to the Jira description:
• APPROACH — How will this be implemented?
  List the implementation steps, services affected, and dependencies.
  Note any blockers or prerequisites.</t>
        </is>
      </c>
      <c r="L95" s="157" t="inlineStr">
        <is>
          <t>Context
Capital service split — Application service (loan origination, offers) separated from Repayments service (repayment processing, scheduling).
Evidence: Meeting: tech debt elimination — remove Capital wallet repayment entity, delete transaction/withdrawal BQ tables, eliminate mutator between Capital and BNPL.
Outcome/Definition of Done
All PRODUCT logic related to repayments are stored in one place and can be easily changed according to product needs in the future
Approach
• Identify the lifecycle stages / entities requiring observability coverage
• Add structured log events at key state transitions
• Create Datadog dashboard covering the identified metrics
• Set alert thresholds based on expected SLA (e.g. &gt;1 day in state = alert)
• Document the observability model: entities, states, SLA thresholds</t>
        </is>
      </c>
    </row>
    <row r="96" ht="90" customHeight="1" s="44">
      <c r="A96" s="42" t="inlineStr">
        <is>
          <t>Epic: Miscellaneous / Unassigned</t>
        </is>
      </c>
      <c r="B96" s="43" t="inlineStr">
        <is>
          <t>Various</t>
        </is>
      </c>
      <c r="C96" s="20" t="inlineStr">
        <is>
          <t>MFT-1821</t>
        </is>
      </c>
      <c r="D96" s="21" t="inlineStr">
        <is>
          <t>MFT-1821</t>
        </is>
      </c>
      <c r="E96" s="22" t="inlineStr">
        <is>
          <t>Implement script that maps all the positive cases for the model</t>
        </is>
      </c>
      <c r="F96" s="100" t="inlineStr">
        <is>
          <t>To DO</t>
        </is>
      </c>
      <c r="G96" s="101" t="inlineStr">
        <is>
          <t>Stanislav Kaychenkov</t>
        </is>
      </c>
      <c r="H96" s="154" t="inlineStr">
        <is>
          <t>Partial (2 missing)</t>
        </is>
      </c>
      <c r="I96" s="155" t="inlineStr">
        <is>
          <t>🟠 NEEDS CLARITY</t>
        </is>
      </c>
      <c r="J96" s="99" t="inlineStr">
        <is>
          <t>Template Assessment:
  Context:     ✗ Missing
  Outcome/DoD: ✓ Present
  Approach:    ✗ Missing
  Desc length: 556 chars
No external enrichment found — enrich from Jira description.</t>
        </is>
      </c>
      <c r="K96"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96"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Script loads all relevant loans and associated repayments.
Script evaluates each loan against Golden Path rules (states, transitions, timing).
Each loan is classified as valid or invalid (with reasons).
Output includes: loan ID, violated rule(s), and current observed state.
Script is idempotent and can be run on schedule (e.g., daily).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97" ht="90" customHeight="1" s="44">
      <c r="A97" s="42" t="inlineStr">
        <is>
          <t>Epic: Miscellaneous / Unassigned</t>
        </is>
      </c>
      <c r="B97" s="43" t="inlineStr">
        <is>
          <t>Various</t>
        </is>
      </c>
      <c r="C97" s="29" t="inlineStr">
        <is>
          <t>MFT-1822</t>
        </is>
      </c>
      <c r="D97" s="30" t="inlineStr">
        <is>
          <t>MFT-1822</t>
        </is>
      </c>
      <c r="E97" s="16" t="inlineStr">
        <is>
          <t>Create alert for error that shows message from script</t>
        </is>
      </c>
      <c r="F97" s="100" t="inlineStr">
        <is>
          <t>To DO</t>
        </is>
      </c>
      <c r="G97" s="102" t="inlineStr">
        <is>
          <t>Evgenii Tumanovskii</t>
        </is>
      </c>
      <c r="H97" s="154" t="inlineStr">
        <is>
          <t>Partial (2 missing)</t>
        </is>
      </c>
      <c r="I97" s="155" t="inlineStr">
        <is>
          <t>🟠 NEEDS CLARITY</t>
        </is>
      </c>
      <c r="J97" s="99" t="inlineStr">
        <is>
          <t>Template Assessment:
  Context:     ✗ Missing
  Outcome/DoD: ✓ Present
  Approach:    ✗ Missing
  Desc length: 587 chars
No external enrichment found — enrich from Jira description.</t>
        </is>
      </c>
      <c r="K97"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97"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Alerts are triggered when validation script reports violations.
Alert severity is configurable (e.g., P1 for systemic issues, P2 for individual loans).
Alert payload includes meaningful error message from the script (loan ID + violated rule).
Alert deduplication prevents alert storms for repeated violations.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98" ht="90" customHeight="1" s="44">
      <c r="A98" s="42" t="inlineStr">
        <is>
          <t>Epic: Miscellaneous / Unassigned</t>
        </is>
      </c>
      <c r="B98" s="43" t="inlineStr">
        <is>
          <t>Various</t>
        </is>
      </c>
      <c r="C98" s="20" t="inlineStr">
        <is>
          <t>MFT-1823</t>
        </is>
      </c>
      <c r="D98" s="21" t="inlineStr">
        <is>
          <t>MFT-1823</t>
        </is>
      </c>
      <c r="E98" s="22" t="inlineStr">
        <is>
          <t>Link with Slack message</t>
        </is>
      </c>
      <c r="F98" s="100" t="inlineStr">
        <is>
          <t>To DO</t>
        </is>
      </c>
      <c r="G98" s="101" t="inlineStr">
        <is>
          <t>Evgenii Tumanovskii</t>
        </is>
      </c>
      <c r="H98" s="154" t="inlineStr">
        <is>
          <t>Partial (2 missing)</t>
        </is>
      </c>
      <c r="I98" s="155" t="inlineStr">
        <is>
          <t>🟠 NEEDS CLARITY</t>
        </is>
      </c>
      <c r="J98" s="99" t="inlineStr">
        <is>
          <t>Template Assessment:
  Context:     ✗ Missing
  Outcome/DoD: ✓ Present
  Approach:    ✗ Missing
  Desc length: 506 chars
No external enrichment found — enrich from Jira description.</t>
        </is>
      </c>
      <c r="K98"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98" s="157"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Alerts from Datadog are routed to the appropriate Slack channels.
Slack messages contain: environment, severity, affected loan IDs, and error summary.
Noise is controlled (grouping/batching of similar violations).
Test alert is successfully delivered to Slack.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99" ht="90" customHeight="1" s="44">
      <c r="A99" s="42" t="inlineStr">
        <is>
          <t>Epic: Miscellaneous / Unassigned</t>
        </is>
      </c>
      <c r="B99" s="43" t="inlineStr">
        <is>
          <t>Various</t>
        </is>
      </c>
      <c r="C99" s="29" t="inlineStr">
        <is>
          <t>MFT-1824</t>
        </is>
      </c>
      <c r="D99" s="30" t="inlineStr">
        <is>
          <t>MFT-1824</t>
        </is>
      </c>
      <c r="E99" s="16" t="inlineStr">
        <is>
          <t>[QA] Test the model</t>
        </is>
      </c>
      <c r="F99" s="100" t="inlineStr">
        <is>
          <t>To DO</t>
        </is>
      </c>
      <c r="G99" s="102" t="inlineStr">
        <is>
          <t>Lusine Karapetyan</t>
        </is>
      </c>
      <c r="H99" s="154" t="inlineStr">
        <is>
          <t>Partial (2 missing)</t>
        </is>
      </c>
      <c r="I99" s="155" t="inlineStr">
        <is>
          <t>🟠 NEEDS CLARITY</t>
        </is>
      </c>
      <c r="J99" s="99" t="inlineStr">
        <is>
          <t>Template Assessment:
  Context:     ✗ Missing
  Outcome/DoD: ✓ Present
  Approach:    ✗ Missing
  Desc length: 689 chars
Enrichment available:
  • Granola (meeting notes)</t>
        </is>
      </c>
      <c r="K99" s="156"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99" s="157" t="inlineStr">
        <is>
          <t>Context
QA testing task — part of post-crisis improvement plan mandated by CTO.
Evidence: No releases without QA model — enforced gate established in response to Nov start date bug.
Outcome/Definition of Done
• Implementation of "[QA] Test the model"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100" ht="90" customHeight="1" s="44">
      <c r="A100" s="114" t="inlineStr">
        <is>
          <t>Epic: Miscellaneous / Unassigned</t>
        </is>
      </c>
      <c r="B100" s="114" t="inlineStr">
        <is>
          <t>Various</t>
        </is>
      </c>
      <c r="C100" s="114" t="inlineStr">
        <is>
          <t>MFT-1805</t>
        </is>
      </c>
      <c r="D100" s="114">
        <f>HYPERLINK("https://tabby.atlassian.net/browse/MFT-1805","🔗 Link")</f>
        <v/>
      </c>
      <c r="E100" s="114" t="inlineStr">
        <is>
          <t>[QA] Test framework integration - TDD test model generation</t>
        </is>
      </c>
      <c r="F100" s="144" t="inlineStr">
        <is>
          <t>To DO</t>
        </is>
      </c>
      <c r="G100" s="114" t="inlineStr">
        <is>
          <t>Lusine Karapetyan</t>
        </is>
      </c>
      <c r="H100" s="164" t="inlineStr">
        <is>
          <t>✗ All missing</t>
        </is>
      </c>
      <c r="I100" s="165" t="inlineStr">
        <is>
          <t>🟠 NEEDS CLARITY</t>
        </is>
      </c>
      <c r="J100" s="114" t="inlineStr">
        <is>
          <t>Template Assessment:
  Context:     ✗ Missing
  Outcome/DoD: ✗ Missing
  Approach:    ✗ Missing
  Desc length: 725 chars
Enrichment available:
  • Granola (meeting notes)</t>
        </is>
      </c>
      <c r="K100" s="114"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100" s="114" t="inlineStr">
        <is>
          <t>Context
QA gatekeeping: no releases without QA model. Post-crisis mandate from CTO.
Evidence: CTO: 'no releases without QA model in place' — enforced after all loans since Nov had wrong start dates.
Outcome/Definition of Done
• Implementation of "[QA] Test framework integration - TDD test model generation"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101" ht="90" customHeight="1" s="44">
      <c r="A101" s="113" t="inlineStr">
        <is>
          <t>Foundation &amp; Billing SoT</t>
        </is>
      </c>
      <c r="B101" s="114" t="inlineStr">
        <is>
          <t>Phase 1</t>
        </is>
      </c>
      <c r="C101" s="115" t="inlineStr">
        <is>
          <t>MFT-1670</t>
        </is>
      </c>
      <c r="D101" s="114">
        <f>HYPERLINK("https://tabbyai.atlassian.net/browse/MFT-1670","🔗 Link")</f>
        <v/>
      </c>
      <c r="E101" s="114" t="inlineStr">
        <is>
          <t>Capital should fully rely on billing data</t>
        </is>
      </c>
      <c r="F101" s="116" t="inlineStr">
        <is>
          <t>Backlog</t>
        </is>
      </c>
      <c r="G101" s="114" t="inlineStr">
        <is>
          <t>Stanislav Kaychenkov</t>
        </is>
      </c>
      <c r="H101" s="166" t="inlineStr">
        <is>
          <t>Partial (2 missing)</t>
        </is>
      </c>
      <c r="I101" s="165" t="inlineStr">
        <is>
          <t>🟠 NEEDS CLARITY</t>
        </is>
      </c>
      <c r="J101" s="119" t="inlineStr">
        <is>
          <t>Template Assessment:
  Context:     ✗ Missing
  Outcome/DoD: ✓ Present
  Approach:    ✗ Missing
  Desc length: 862 chars
Enrichment available:
  • BigQuery (billing_migration)
  • Granola (meeting notes)</t>
        </is>
      </c>
      <c r="K101" s="120"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101" s="121" t="inlineStr">
        <is>
          <t>Context
CTO crisis Feb 2026: 57% of virtual_card_installments NOT migrated to billing. Capital was doing its own calculations parallel to Billing, causing inconsistencies. CTO demanded billing become SoT within 2 weeks.
Evidence: 43 loans had Capital vs Billing calculation discrepancies. 190 loan mismatches found. Extreme example: Capital paid 29,268 vs Billing paid 292,680 (10x discrepancy).
BigQuery confirms the migration gap: BQ confirms: 57% of new virtual_card_installments loans (29.95M records) have is_billing_enabled=FALSE. Capital still relies on legacy loan system for majority of loan state — billing system not yet source of truth.
Outcome/Definition of Done
• Capital no longer performs independent calculations for this concern.
• All data sourced exclusively from Billing service.
• Existing automated tests pass; new integration test added to cover the billing-driven path.
• No regression in repayment accuracy confirmed by reconciliation job.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102" ht="90" customHeight="1" s="44">
      <c r="A102" s="113" t="inlineStr">
        <is>
          <t>Cleanup &amp; Migration Phase 3</t>
        </is>
      </c>
      <c r="B102" s="114" t="inlineStr">
        <is>
          <t>Phase 3</t>
        </is>
      </c>
      <c r="C102" s="115" t="inlineStr">
        <is>
          <t>MFT-1672</t>
        </is>
      </c>
      <c r="D102" s="114">
        <f>HYPERLINK("https://tabbyai.atlassian.net/browse/MFT-1672","🔗 Link")</f>
        <v/>
      </c>
      <c r="E102" s="114" t="inlineStr">
        <is>
          <t>Recreate All FRF Tasks After Release of "FRF Unified Module for Installment Dates"</t>
        </is>
      </c>
      <c r="F102" s="119" t="inlineStr">
        <is>
          <t>Cancelled</t>
        </is>
      </c>
      <c r="G102" s="114" t="inlineStr">
        <is>
          <t>Denis Larionov</t>
        </is>
      </c>
      <c r="H102" s="167" t="inlineStr">
        <is>
          <t>✗ All missing</t>
        </is>
      </c>
      <c r="I102" s="165" t="inlineStr">
        <is>
          <t>🟠 NEEDS CLARITY</t>
        </is>
      </c>
      <c r="J102" s="119" t="inlineStr">
        <is>
          <t>Template Assessment:
  Context:     ✗ Missing
  Outcome/DoD: ✗ Missing
  Approach:    ✗ Missing
  Desc length: 339 chars
Enrichment available:
  • BigQuery (frf)
  • Granola (meeting notes)</t>
        </is>
      </c>
      <c r="K102" s="120"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102" s="121" t="inlineStr">
        <is>
          <t>Context
FRF implementation — Reem partnership dependency. Reem timeline pushed to June (4-month delay) due to Capital stability issues.
Evidence: Meeting: Reem partnership blocked until Capital stability proven. Timeline pushed June.
BQ data for FRF analysis: BQ context: FRF tasks span 3 installment period variants (P1M/P1W/P2W) across multiple product types. Recreating FRF tasks after Unified Module release must account for this complexity across all period/product combinations.
Outcome/Definition of Done
• FRF installment dates and amounts consumed from Billing; Capital-owned calculation removed.
• All FRF repayment schedules match Billing records in staging.
• Unit tests cover the new unified module; no regression in existing FRF flows.
Approach
• Implement the FRF Unified Module consuming dates/amounts from Billing API
• Replace Capital-owned date determination functions with calls to the new module
• Add unit tests covering all FRF schedule variations
• Run FRF reconciliation check: compare new module output vs existing Capital logic in staging
• Deprecate or remove old Capital-owned calculation code after validation
• Deploy to staging; monitor for schedule accuracy over 48h</t>
        </is>
      </c>
    </row>
    <row r="103" ht="90" customHeight="1" s="44">
      <c r="A103" s="113" t="inlineStr">
        <is>
          <t>Reconciliation &amp; Data Integrity</t>
        </is>
      </c>
      <c r="B103" s="114" t="inlineStr">
        <is>
          <t>Phase 2</t>
        </is>
      </c>
      <c r="C103" s="115" t="inlineStr">
        <is>
          <t>MFT-1684</t>
        </is>
      </c>
      <c r="D103" s="114">
        <f>HYPERLINK("https://tabbyai.atlassian.net/browse/MFT-1684","🔗 Link")</f>
        <v/>
      </c>
      <c r="E103" s="114" t="inlineStr">
        <is>
          <t>Reconciliation checker/guardrails job</t>
        </is>
      </c>
      <c r="F103" s="124" t="inlineStr">
        <is>
          <t>Done</t>
        </is>
      </c>
      <c r="G103" s="114" t="inlineStr">
        <is>
          <t>Alex Shchepetilnikov</t>
        </is>
      </c>
      <c r="H103" s="168" t="inlineStr">
        <is>
          <t>Partial (2 missing)</t>
        </is>
      </c>
      <c r="I103" s="165" t="inlineStr">
        <is>
          <t>🟠 NEEDS CLARITY</t>
        </is>
      </c>
      <c r="J103" s="119" t="inlineStr">
        <is>
          <t>Template Assessment:
  Context:     ✗ Missing
  Outcome/DoD: ✗ Missing
  Approach:    ✓ Present
  Desc length: 4521 chars
Enrichment available:
  • Granola (meeting notes)</t>
        </is>
      </c>
      <c r="K103" s="120"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t>
        </is>
      </c>
      <c r="L103" s="121" t="inlineStr">
        <is>
          <t>Context
Reconciliation crisis: 190 loan mismatches between Capital and Billing calculations. 43 with extreme discrepancies. Jenya implemented reconciliation checker job.
Evidence: Extreme example: Capital paid 29,268 vs Billing paid 292,680 (10x discrepancy). $0.01 rounding differences also found.
Outcome/Definition of Done
• Reconciliation job runs on schedule and flags all mismatches.
• Zero undetected discrepancies in a 7-day staging run.
• Alerts fire on mismatch &gt; threshold; report delivered to data channel.
Approach
• Define reconciliation checks: which fields, which tables, which threshold
• Implement or update reconciliation job to cover the identified gaps
• Test job against historical data with known discrepancies
• Configure scheduled run (daily or hourly) in production
• Set alert: if mismatch rate exceeds threshold, notify on-call
• Create BQ report / dashboard showing reconciliation trends</t>
        </is>
      </c>
    </row>
    <row r="104" ht="90" customHeight="1" s="44">
      <c r="A104" s="113" t="inlineStr">
        <is>
          <t>Miscellaneous / Unassigned</t>
        </is>
      </c>
      <c r="B104" s="114" t="inlineStr">
        <is>
          <t>Various</t>
        </is>
      </c>
      <c r="C104" s="115" t="inlineStr">
        <is>
          <t>MFT-1692</t>
        </is>
      </c>
      <c r="D104" s="114">
        <f>HYPERLINK("https://tabbyai.atlassian.net/browse/MFT-1692","🔗 Link")</f>
        <v/>
      </c>
      <c r="E104" s="114" t="inlineStr">
        <is>
          <t>Tech debt (make capital great again)</t>
        </is>
      </c>
      <c r="F104" s="116" t="inlineStr">
        <is>
          <t>Backlog</t>
        </is>
      </c>
      <c r="G104" s="114" t="inlineStr">
        <is>
          <t>Evgenii Tumanovskii</t>
        </is>
      </c>
      <c r="H104" s="167" t="inlineStr">
        <is>
          <t>✗ All missing</t>
        </is>
      </c>
      <c r="I104" s="165" t="inlineStr">
        <is>
          <t>🟠 NEEDS CLARITY</t>
        </is>
      </c>
      <c r="J104" s="119" t="inlineStr">
        <is>
          <t>Template Assessment:
  Context:     ✗ Missing
  Outcome/DoD: ✗ Missing
  Approach:    ✗ Missing
Enrichment available:
  • Granola (meeting notes)</t>
        </is>
      </c>
      <c r="K104" s="120" t="inlineStr">
        <is>
          <t>Add the following to the Jira description:
• CONTEXT — Why is this task needed?
  Explain the incident/problem that triggered this work.
  Link to the red card incident (Feb 2026), CTO mandate, or specific BQ data.
• OUTCOME / DEFINITION OF DONE — What does success look like?
  List measurable criteria (e.g. alert fires within 1 min, no stuck repayments &gt;1 day).
  State what monitoring/test validates completion.
• APPROACH — How will this be implemented?
  List the implementation steps, services affected, and dependencies.
  Note any blockers or prerequisites.</t>
        </is>
      </c>
      <c r="L104" s="121" t="inlineStr">
        <is>
          <t>Context
Empty description task. Context from meeting: Capital stability tech debt initiative post-red card incident Feb 2026. CTO mandated three improvement plans.
Evidence: Part of 108-task Capital stability board created in response to CTO crisis intervention.
Outcome/Definition of Done
• Implementation of "Tech debt (make capital great again)" is complete and deployed.
• Automated test coverage added for the new behaviour.
• No regression in related functionality; confirmed in staging.
Approach
• Review Jira description and clarify scope with task owner
• Identify affected code paths in the Capital service
• Implement the required changes with appropriate tests
• Test in staging; confirm no regression in related functionality
• Deploy to production; monitor for 24h post-deploy</t>
        </is>
      </c>
    </row>
    <row r="105" ht="90" customHeight="1" s="44">
      <c r="A105" s="113" t="inlineStr">
        <is>
          <t>QA &amp; Testing</t>
        </is>
      </c>
      <c r="B105" s="114" t="inlineStr">
        <is>
          <t>Phase 1</t>
        </is>
      </c>
      <c r="C105" s="115" t="inlineStr">
        <is>
          <t>MFT-1734</t>
        </is>
      </c>
      <c r="D105" s="114">
        <f>HYPERLINK("https://tabbyai.atlassian.net/browse/MFT-1734","🔗 Link")</f>
        <v/>
      </c>
      <c r="E105" s="114" t="inlineStr">
        <is>
          <t>[QA] QA Planning &amp; Release Readiness for Billing Migration</t>
        </is>
      </c>
      <c r="F105" s="116" t="inlineStr">
        <is>
          <t>Backlog</t>
        </is>
      </c>
      <c r="G105" s="114" t="inlineStr">
        <is>
          <t>—</t>
        </is>
      </c>
      <c r="H105" s="168" t="inlineStr">
        <is>
          <t>Partial (1 missing)</t>
        </is>
      </c>
      <c r="I105" s="165" t="inlineStr">
        <is>
          <t>🟠 NEEDS CLARITY</t>
        </is>
      </c>
      <c r="J105" s="119" t="inlineStr">
        <is>
          <t>Template Assessment:
  Context:     ✗ Missing
  Outcome/DoD: ✓ Present
  Approach:    ✓ Present
  Desc length: 4594 chars
Enrichment available:
  • BigQuery (billing_migration)
  • Granola (meeting notes)</t>
        </is>
      </c>
      <c r="K105" s="120" t="inlineStr">
        <is>
          <t>Add the following to the Jira description:
• CONTEXT — Why is this task needed?
  Explain the incident/problem that triggered this work.
  Link to the red card incident (Feb 2026), CTO mandate, or specific BQ data.</t>
        </is>
      </c>
      <c r="L105" s="121" t="inlineStr">
        <is>
          <t>Context
Billing SoT enablement: Capital must stop dual invoice creation and stop doing its own financial calculations. Phase 2 migration plan includes consuming installment plans from billing.
Evidence: Two weeks deadline from CTO to make billing the source of truth.
BigQuery confirms the migration gap: BQ context: Billing migration has significant scope — 29.95M virtual_card_installments and other product types still have is_billing_enabled=FALSE. QA planning must cover all product_type variants (virtual_card_installments, installments, monthly_billing).
Outcome/Definition of Done
• Capital no longer performs independent calculations for this concern.
• All data sourced exclusively from Billing service.
• Existing automated tests pass; new integration test added to cover the billing-driven path.
• No regression in repayment accuracy confirmed by reconciliation job.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106" ht="90" customHeight="1" s="44">
      <c r="A106" s="113" t="inlineStr">
        <is>
          <t>Monitoring &amp; Alerting</t>
        </is>
      </c>
      <c r="B106" s="114" t="inlineStr">
        <is>
          <t>Phase 1</t>
        </is>
      </c>
      <c r="C106" s="115" t="inlineStr">
        <is>
          <t>MFT-1746</t>
        </is>
      </c>
      <c r="D106" s="114">
        <f>HYPERLINK("https://tabbyai.atlassian.net/browse/MFT-1746","🔗 Link")</f>
        <v/>
      </c>
      <c r="E106" s="114" t="inlineStr">
        <is>
          <t>Increate observability of application</t>
        </is>
      </c>
      <c r="F106" s="116" t="inlineStr">
        <is>
          <t>Backlog</t>
        </is>
      </c>
      <c r="G106" s="114" t="inlineStr">
        <is>
          <t>Stanislav Kaychenkov</t>
        </is>
      </c>
      <c r="H106" s="166" t="inlineStr">
        <is>
          <t>Partial (1 missing)</t>
        </is>
      </c>
      <c r="I106" s="165" t="inlineStr">
        <is>
          <t>🟠 NEEDS CLARITY</t>
        </is>
      </c>
      <c r="J106" s="119" t="inlineStr">
        <is>
          <t>Template Assessment:
  Context:     ✓ Present
  Outcome/DoD: ✓ Present
  Approach:    ✗ Missing
  Desc length: 881 chars
No external enrichment found — enrich from Jira description.</t>
        </is>
      </c>
      <c r="K106" s="120" t="inlineStr">
        <is>
          <t>Add the following to the Jira description:
• APPROACH — How will this be implemented?
  List the implementation steps, services affected, and dependencies.
  Note any blockers or prerequisites.</t>
        </is>
      </c>
      <c r="L106" s="121" t="inlineStr">
        <is>
          <t>Context
Issues during application, approval, contracting, and mandate setup stages can block the entire loan lifecycle and lead to SLA violations, lost merchants, and delayed revenue. Currently, failures and stalls at these stages are not detected early enough.
Outcome/Definition of Done
• Alert fires within 1 minute of threshold breach.
• Zero false positives in staging over a 48-hour window.
• On-call engineer receives Slack/Datadog notification with loan ID and failure reason.
• Runbook documented and linked from the alert.
Approach
• Define alert threshold based on BQ baseline data
• Configure Datadog monitor targeting the relevant metric/log pattern
• Set up Slack integration for on-call channel notification
• Write runbook: what to check when alert fires, escalation path
• Test alert end-to-end in staging; verify Slack message received
• Set alert to no-data = OK state to avoid false positives on restarts</t>
        </is>
      </c>
    </row>
    <row r="107" ht="90" customHeight="1" s="44">
      <c r="A107" s="113" t="inlineStr">
        <is>
          <t>Reconciliation &amp; Data Integrity</t>
        </is>
      </c>
      <c r="B107" s="114" t="inlineStr">
        <is>
          <t>Phase 2</t>
        </is>
      </c>
      <c r="C107" s="115" t="inlineStr">
        <is>
          <t>MFT-1747</t>
        </is>
      </c>
      <c r="D107" s="114">
        <f>HYPERLINK("https://tabbyai.atlassian.net/browse/MFT-1747","🔗 Link")</f>
        <v/>
      </c>
      <c r="E107" s="114" t="inlineStr">
        <is>
          <t>Fix all discrepancies with billing</t>
        </is>
      </c>
      <c r="F107" s="116" t="inlineStr">
        <is>
          <t>Backlog</t>
        </is>
      </c>
      <c r="G107" s="114" t="inlineStr">
        <is>
          <t>Evgenii Tumanovskii</t>
        </is>
      </c>
      <c r="H107" s="167" t="inlineStr">
        <is>
          <t>Partial (1 missing)</t>
        </is>
      </c>
      <c r="I107" s="165" t="inlineStr">
        <is>
          <t>🟠 NEEDS CLARITY</t>
        </is>
      </c>
      <c r="J107" s="119" t="inlineStr">
        <is>
          <t>Template Assessment:
  Context:     ✗ Missing
  Outcome/DoD: ✓ Present
  Approach:    ✓ Present
  Desc length: 170 chars
Enrichment available:
  • BigQuery (billing_migration)
  • Granola (meeting notes)</t>
        </is>
      </c>
      <c r="K107" s="120" t="inlineStr">
        <is>
          <t>Add the following to the Jira description:
• CONTEXT — Why is this task needed?
  Explain the incident/problem that triggered this work.
  Link to the red card incident (Feb 2026), CTO mandate, or specific BQ data.</t>
        </is>
      </c>
      <c r="L107" s="121" t="inlineStr">
        <is>
          <t>Context
Loan start date bug: all loans since November had incorrect start dates. This was discovered during reconciliation process post-red card incident. Fix required correcting historical data.
Evidence: Meeting notes: 'All loans since October/November had wrong start dates — disbursement vs first installment date confusion.'
BigQuery confirms the migration gap: BQ confirms billing discrepancies exist at scale: 29.95M virtual_card_installment loans (57%) have is_billing_enabled=FALSE, indicating Capital still dual-sourcing loan state from both legacy and billing systems.
Outcome/Definition of Done
• Capital no longer performs independent calculations for this concern.
• All data sourced exclusively from Billing service.
• Existing automated tests pass; new integration test added to cover the billing-driven path.
• No regression in repayment accuracy confirmed by reconciliation job.
Approach
• Identify all places in Capital that independently calculate or source this data
• Replace with calls to the Billing service API / event stream
• Add integration test: Billing event → Capital state update verified
• Run reconciliation job to confirm zero discrepancy between Capital and Billing post-migration
• Remove legacy Capital-owned logic once integration test is green
• Monitor for 48h in staging before production rollout</t>
        </is>
      </c>
    </row>
    <row r="108">
      <c r="A108" s="113" t="inlineStr">
        <is>
          <t>Reconciliation &amp; Data Integrity</t>
        </is>
      </c>
      <c r="B108" s="114" t="inlineStr">
        <is>
          <t>Phase 2</t>
        </is>
      </c>
      <c r="C108" s="115" t="inlineStr">
        <is>
          <t>MFT-1785</t>
        </is>
      </c>
      <c r="D108" s="114">
        <f>HYPERLINK("https://tabbyai.atlassian.net/browse/MFT-1785","🔗 Link")</f>
        <v/>
      </c>
      <c r="E108" s="114" t="inlineStr">
        <is>
          <t>Update Capital-&gt;Billing reconciliation</t>
        </is>
      </c>
      <c r="F108" s="116" t="inlineStr">
        <is>
          <t>Backlog</t>
        </is>
      </c>
      <c r="G108" s="114" t="inlineStr">
        <is>
          <t>Stanislav Kaychenkov</t>
        </is>
      </c>
      <c r="H108" s="166" t="inlineStr">
        <is>
          <t>Partial (1 missing)</t>
        </is>
      </c>
      <c r="I108" s="165" t="inlineStr">
        <is>
          <t>🟠 NEEDS CLARITY</t>
        </is>
      </c>
      <c r="J108" s="119" t="inlineStr">
        <is>
          <t>Template Assessment:
  Context:     ✓ Present
  Outcome/DoD: ✓ Present
  Approach:    ✗ Missing
  Desc length: 753 chars
Enrichment available:
  • Granola (meeting notes)</t>
        </is>
      </c>
      <c r="K108" s="120" t="inlineStr">
        <is>
          <t>Add the following to the Jira description:
• APPROACH — How will this be implemented?
  List the implementation steps, services affected, and dependencies.
  Note any blockers or prerequisites.</t>
        </is>
      </c>
      <c r="L108" s="121" t="inlineStr">
        <is>
          <t>Context
Reconciliation checker: Jenya's job runs reconciliation between Capital and Billing. Plan: run on prod, fix until clean, automate hourly/daily.
Evidence: Meeting: reconciliation checker rollout plan — run on prod, fix until clean, convert to automated job.
Outcome/Definition of Done
Automated reconciliation scripts validate customers, wallets, loans, and repayments between Capital and Billing.
Discrepancies are detected, logged, and reported.
Reconciliation can be run on a scheduled basis with clear output and failure signals.
Approach
Implement reconciliation scripts to compare Capital loan configuration data with Billing entities.
Validate wallet balances, loan attributes, and repayment counts/amounts.
Produce structured reconciliation reports and expose failures via monitoring/alerts.</t>
        </is>
      </c>
    </row>
    <row r="109" ht="30" customHeight="1" s="44">
      <c r="A109" s="113" t="inlineStr">
        <is>
          <t>Reconciliation &amp; Data Integrity</t>
        </is>
      </c>
      <c r="B109" t="inlineStr">
        <is>
          <t>Various</t>
        </is>
      </c>
      <c r="C109" t="inlineStr">
        <is>
          <t>MFT-1787</t>
        </is>
      </c>
      <c r="D109">
        <f>HYPERLINK("https://tabby.atlassian.net/browse/MFT-1787","🔗 Link")</f>
        <v/>
      </c>
      <c r="E109" t="inlineStr">
        <is>
          <t>Build Capital-&gt;DD reconciliation</t>
        </is>
      </c>
      <c r="F109" s="146" t="inlineStr">
        <is>
          <t>Backlog</t>
        </is>
      </c>
      <c r="G109" t="inlineStr">
        <is>
          <t>Stanislav Kaychenkov</t>
        </is>
      </c>
      <c r="H109" s="164" t="inlineStr">
        <is>
          <t>Partial (2 missing)</t>
        </is>
      </c>
      <c r="I109" s="165" t="inlineStr">
        <is>
          <t>🟠 NEEDS CLARITY</t>
        </is>
      </c>
      <c r="J109" s="114" t="inlineStr">
        <is>
          <t>Template Assessment:
  Context:     ✗ Missing
  Outcome/DoD: ✓ Present
  Approach:    ✗ Missing
  Desc length: 634 chars
Enrichment available:
  • Granola (meeting notes)</t>
        </is>
      </c>
      <c r="K109" s="114"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109" s="114" t="inlineStr">
        <is>
          <t>Context
Reconciliation task — post-crisis automated reconciliation. Jenya's reconciliation checker job to be automated hourly.
Evidence: 43/190 loan mismatches. Plan: run on prod, fix until clean, convert to hourly/daily job.
Outcome/Definition of Done
Automated checks verify mandates, mandate validity periods, and DD payments against Capital repayments.
Discrepancies in status, amount, or dates are detected.
Reconciliation results are visible and actionable.
Approach
Use Direct Debit APIs to retrieve mandate and payment data.
Compare mandate status and expiration against loan schedules.
Validate payment status, amount, and dates against Capital repayment records.</t>
        </is>
      </c>
    </row>
    <row r="110" ht="90" customHeight="1" s="44">
      <c r="A110" s="113" t="inlineStr">
        <is>
          <t>Reconciliation &amp; Data Integrity</t>
        </is>
      </c>
      <c r="B110" s="114" t="inlineStr">
        <is>
          <t>Phase 2</t>
        </is>
      </c>
      <c r="C110" s="115" t="inlineStr">
        <is>
          <t>MFT-1788</t>
        </is>
      </c>
      <c r="D110" s="114">
        <f>HYPERLINK("https://tabbyai.atlassian.net/browse/MFT-1788","🔗 Link")</f>
        <v/>
      </c>
      <c r="E110" s="114" t="inlineStr">
        <is>
          <t>Build Capital-&gt;Bank statement reconciliation</t>
        </is>
      </c>
      <c r="F110" s="116" t="inlineStr">
        <is>
          <t>Backlog</t>
        </is>
      </c>
      <c r="G110" s="114" t="inlineStr">
        <is>
          <t>Stanislav Kaychenkov</t>
        </is>
      </c>
      <c r="H110" s="166" t="inlineStr">
        <is>
          <t>Partial (2 missing)</t>
        </is>
      </c>
      <c r="I110" s="165" t="inlineStr">
        <is>
          <t>🟠 NEEDS CLARITY</t>
        </is>
      </c>
      <c r="J110" s="119" t="inlineStr">
        <is>
          <t>Template Assessment:
  Context:     ✗ Missing
  Outcome/DoD: ✓ Present
  Approach:    ✗ Missing
  Desc length: 756 chars
Enrichment available:
  • Granola (meeting notes)</t>
        </is>
      </c>
      <c r="K110" s="120" t="inlineStr">
        <is>
          <t>Add the following to the Jira description:
• CONTEXT — Why is this task needed?
  Explain the incident/problem that triggered this work.
  Link to the red card incident (Feb 2026), CTO mandate, or specific BQ data.
• APPROACH — How will this be implemented?
  List the implementation steps, services affected, and dependencies.
  Note any blockers or prerequisites.</t>
        </is>
      </c>
      <c r="L110" s="121" t="inlineStr">
        <is>
          <t>Context
Reconciliation task — fixing loan mismatches between Capital and Billing calculations.
Evidence: 190 loan mismatches total, 43 with extreme discrepancies (up to 10x). Must fix root causes.
Outcome/Definition of Done
Bank statements are automatically ingested, parsed, and reconciled with Capital/Billing repayments.
All repayments are reconciled within acceptable timeframes (≤ 7 days).
Unreconciled or mismatched transactions are detectable and reported.
Approach
Implement ingestion and parsing of bank statements into Capital storage.
Match bank transactions with Billing/Capital repayments using amount, date (with tolerance), and reference IDs where possible.
Add reconciliation status tracking and alerts for overdue unreconciled repayments.</t>
        </is>
      </c>
    </row>
    <row r="111" ht="90" customHeight="1" s="44">
      <c r="A111" s="113" t="inlineStr">
        <is>
          <t>Miscellaneous / Unassigned</t>
        </is>
      </c>
      <c r="B111" s="114" t="inlineStr">
        <is>
          <t>Various</t>
        </is>
      </c>
      <c r="C111" s="115" t="inlineStr">
        <is>
          <t>MFT-1806</t>
        </is>
      </c>
      <c r="D111" s="114">
        <f>HYPERLINK("https://tabbyai.atlassian.net/browse/MFT-1806","🔗 Link")</f>
        <v/>
      </c>
      <c r="E111" s="114" t="inlineStr">
        <is>
          <t>Capital as repayments engine</t>
        </is>
      </c>
      <c r="F111" s="116" t="inlineStr">
        <is>
          <t>Backlog</t>
        </is>
      </c>
      <c r="G111" s="114" t="inlineStr">
        <is>
          <t>—</t>
        </is>
      </c>
      <c r="H111" s="167" t="inlineStr">
        <is>
          <t>Partial (1 missing)</t>
        </is>
      </c>
      <c r="I111" s="165" t="inlineStr">
        <is>
          <t>🟠 NEEDS CLARITY</t>
        </is>
      </c>
      <c r="J111" s="119" t="inlineStr">
        <is>
          <t>Template Assessment:
  Context:     ✗ Missing
  Outcome/DoD: ✓ Present
  Approach:    ✓ Present
  Desc length: 347 chars
No external enrichment found — enrich from Jira description.</t>
        </is>
      </c>
      <c r="K111" s="120" t="inlineStr">
        <is>
          <t>Add the following to the Jira description:
• CONTEXT — Why is this task needed?
  Explain the incident/problem that triggered this work.
  Link to the red card incident (Feb 2026), CTO mandate, or specific BQ data.</t>
        </is>
      </c>
      <c r="L111" s="121" t="inlineStr">
        <is>
          <t>Context
Following the February 2026 red card incident and CTO crisis intervention, Capital Tech Debt was prioritised into 108 tasks. The incident revealed that all loans since November had incorrect start dates, no monitoring or alerts existed, and manual reconciliation was the only safety net. CTO mandated: (1) Billing becomes source of truth within two weeks, (2) QA improvement plan, (3) structured tech debt reduction.
Outcome/Definition of Done
• Implementation of "Capital as repayments engine" is complete and deployed.
• Automated test coverage added for the new behaviour.
• No regression in related functionality; confirmed in staging.
Approach
• Review the Capital-as-repayments-engine design (aligned with Alex Dvorin)
• Ensure all discrepancies from MFT-1670 are resolved before proceeding
• Implement changes per the approved schema (Zoom whiteboard doc)
• Write integration tests covering the repayment engine responsibilities
• Validate with Billing team that the contract is correct
• Deploy in stages; monitor repayment accuracy via reconciliation job</t>
        </is>
      </c>
    </row>
    <row r="112" ht="90" customHeight="1" s="44"/>
    <row r="113" ht="90" customHeight="1" s="44"/>
    <row r="114" ht="90" customHeight="1" s="44"/>
    <row r="115" ht="90" customHeight="1" s="44"/>
    <row r="116" ht="90" customHeight="1" s="44"/>
    <row r="117" ht="90" customHeight="1" s="44"/>
    <row r="118" ht="90" customHeight="1" s="44"/>
    <row r="119" ht="90" customHeight="1" s="44"/>
    <row r="120" ht="90" customHeight="1" s="44"/>
    <row r="121" ht="90" customHeight="1" s="44"/>
  </sheetData>
  <mergeCells count="2">
    <mergeCell ref="A2:L2"/>
    <mergeCell ref="A1:L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3" r:id="rId48"/>
    <hyperlink xmlns:r="http://schemas.openxmlformats.org/officeDocument/2006/relationships" ref="D54" r:id="rId49"/>
    <hyperlink xmlns:r="http://schemas.openxmlformats.org/officeDocument/2006/relationships" ref="D57" r:id="rId50"/>
    <hyperlink xmlns:r="http://schemas.openxmlformats.org/officeDocument/2006/relationships" ref="D60" r:id="rId51"/>
    <hyperlink xmlns:r="http://schemas.openxmlformats.org/officeDocument/2006/relationships" ref="D61" r:id="rId52"/>
    <hyperlink xmlns:r="http://schemas.openxmlformats.org/officeDocument/2006/relationships" ref="D62" r:id="rId53"/>
    <hyperlink xmlns:r="http://schemas.openxmlformats.org/officeDocument/2006/relationships" ref="D63" r:id="rId54"/>
    <hyperlink xmlns:r="http://schemas.openxmlformats.org/officeDocument/2006/relationships" ref="D64" r:id="rId55"/>
    <hyperlink xmlns:r="http://schemas.openxmlformats.org/officeDocument/2006/relationships" ref="D65" r:id="rId56"/>
    <hyperlink xmlns:r="http://schemas.openxmlformats.org/officeDocument/2006/relationships" ref="D66" r:id="rId57"/>
    <hyperlink xmlns:r="http://schemas.openxmlformats.org/officeDocument/2006/relationships" ref="D67" r:id="rId58"/>
    <hyperlink xmlns:r="http://schemas.openxmlformats.org/officeDocument/2006/relationships" ref="D68" r:id="rId59"/>
    <hyperlink xmlns:r="http://schemas.openxmlformats.org/officeDocument/2006/relationships" ref="D69" r:id="rId60"/>
    <hyperlink xmlns:r="http://schemas.openxmlformats.org/officeDocument/2006/relationships" ref="D70" r:id="rId61"/>
    <hyperlink xmlns:r="http://schemas.openxmlformats.org/officeDocument/2006/relationships" ref="D71" r:id="rId62"/>
    <hyperlink xmlns:r="http://schemas.openxmlformats.org/officeDocument/2006/relationships" ref="D72" r:id="rId63"/>
    <hyperlink xmlns:r="http://schemas.openxmlformats.org/officeDocument/2006/relationships" ref="D75" r:id="rId64"/>
    <hyperlink xmlns:r="http://schemas.openxmlformats.org/officeDocument/2006/relationships" ref="D76" r:id="rId65"/>
    <hyperlink xmlns:r="http://schemas.openxmlformats.org/officeDocument/2006/relationships" ref="D77" r:id="rId66"/>
    <hyperlink xmlns:r="http://schemas.openxmlformats.org/officeDocument/2006/relationships" ref="D78" r:id="rId67"/>
    <hyperlink xmlns:r="http://schemas.openxmlformats.org/officeDocument/2006/relationships" ref="D79" r:id="rId68"/>
    <hyperlink xmlns:r="http://schemas.openxmlformats.org/officeDocument/2006/relationships" ref="D80" r:id="rId69"/>
    <hyperlink xmlns:r="http://schemas.openxmlformats.org/officeDocument/2006/relationships" ref="D81" r:id="rId70"/>
    <hyperlink xmlns:r="http://schemas.openxmlformats.org/officeDocument/2006/relationships" ref="D82" r:id="rId71"/>
    <hyperlink xmlns:r="http://schemas.openxmlformats.org/officeDocument/2006/relationships" ref="D83" r:id="rId72"/>
    <hyperlink xmlns:r="http://schemas.openxmlformats.org/officeDocument/2006/relationships" ref="D84" r:id="rId73"/>
    <hyperlink xmlns:r="http://schemas.openxmlformats.org/officeDocument/2006/relationships" ref="D85" r:id="rId74"/>
    <hyperlink xmlns:r="http://schemas.openxmlformats.org/officeDocument/2006/relationships" ref="D86" r:id="rId75"/>
    <hyperlink xmlns:r="http://schemas.openxmlformats.org/officeDocument/2006/relationships" ref="D87" r:id="rId76"/>
    <hyperlink xmlns:r="http://schemas.openxmlformats.org/officeDocument/2006/relationships" ref="D88" r:id="rId77"/>
    <hyperlink xmlns:r="http://schemas.openxmlformats.org/officeDocument/2006/relationships" ref="D89" r:id="rId78"/>
    <hyperlink xmlns:r="http://schemas.openxmlformats.org/officeDocument/2006/relationships" ref="D90" r:id="rId79"/>
    <hyperlink xmlns:r="http://schemas.openxmlformats.org/officeDocument/2006/relationships" ref="D91" r:id="rId80"/>
    <hyperlink xmlns:r="http://schemas.openxmlformats.org/officeDocument/2006/relationships" ref="D92" r:id="rId81"/>
    <hyperlink xmlns:r="http://schemas.openxmlformats.org/officeDocument/2006/relationships" ref="D93" r:id="rId82"/>
    <hyperlink xmlns:r="http://schemas.openxmlformats.org/officeDocument/2006/relationships" ref="D94" r:id="rId83"/>
    <hyperlink xmlns:r="http://schemas.openxmlformats.org/officeDocument/2006/relationships" ref="D95" r:id="rId84"/>
    <hyperlink xmlns:r="http://schemas.openxmlformats.org/officeDocument/2006/relationships" ref="D96" r:id="rId85"/>
    <hyperlink xmlns:r="http://schemas.openxmlformats.org/officeDocument/2006/relationships" ref="D97" r:id="rId86"/>
    <hyperlink xmlns:r="http://schemas.openxmlformats.org/officeDocument/2006/relationships" ref="D98" r:id="rId87"/>
    <hyperlink xmlns:r="http://schemas.openxmlformats.org/officeDocument/2006/relationships" ref="D99" r:id="rId88"/>
    <hyperlink xmlns:r="http://schemas.openxmlformats.org/officeDocument/2006/relationships" ref="D100" r:id="rId89"/>
    <hyperlink xmlns:r="http://schemas.openxmlformats.org/officeDocument/2006/relationships" ref="D101" r:id="rId90"/>
    <hyperlink xmlns:r="http://schemas.openxmlformats.org/officeDocument/2006/relationships" ref="D102" r:id="rId91"/>
    <hyperlink xmlns:r="http://schemas.openxmlformats.org/officeDocument/2006/relationships" ref="D103" r:id="rId92"/>
    <hyperlink xmlns:r="http://schemas.openxmlformats.org/officeDocument/2006/relationships" ref="D104" r:id="rId93"/>
    <hyperlink xmlns:r="http://schemas.openxmlformats.org/officeDocument/2006/relationships" ref="D105" r:id="rId94"/>
    <hyperlink xmlns:r="http://schemas.openxmlformats.org/officeDocument/2006/relationships" ref="D106" r:id="rId95"/>
    <hyperlink xmlns:r="http://schemas.openxmlformats.org/officeDocument/2006/relationships" ref="D107" r:id="rId9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14" customWidth="1" style="44" min="1" max="1"/>
    <col width="10" customWidth="1" style="44" min="2" max="2"/>
    <col width="42" customWidth="1" style="44" min="3" max="3"/>
    <col width="16" customWidth="1" style="44" min="4" max="4"/>
    <col width="22" customWidth="1" style="44" min="5" max="5"/>
    <col width="30" customWidth="1" style="44" min="6" max="6"/>
    <col width="35" customWidth="1" style="44" min="7" max="7"/>
    <col width="20" customWidth="1" style="44" min="8" max="8"/>
    <col width="5" customWidth="1" style="44" min="9" max="9"/>
  </cols>
  <sheetData>
    <row r="1" ht="42" customHeight="1" s="44">
      <c r="A1" s="126" t="inlineStr">
        <is>
          <t>🔍  Inconsistencies Report — Capital Tech Debt (MFT Stability Board)</t>
        </is>
      </c>
    </row>
    <row r="2" ht="22" customHeight="1" s="44">
      <c r="A2" s="127" t="inlineStr">
        <is>
          <t>Generated: 2026-02-28  |  Source: Jira MFT (stability label) vs Excel Epic Breakdown  |  Total issues after sync: 116</t>
        </is>
      </c>
    </row>
    <row r="4" ht="35" customHeight="1" s="44">
      <c r="A4" s="128" t="inlineStr">
        <is>
          <t>📋  SECTION 1 — In Jira but NOT in Excel  (12 tasks added to Epic Breakdown)</t>
        </is>
      </c>
    </row>
    <row r="5" ht="28" customHeight="1" s="44">
      <c r="A5" s="129" t="inlineStr">
        <is>
          <t>Jira Key</t>
        </is>
      </c>
      <c r="B5" s="129" t="inlineStr">
        <is>
          <t>Phase</t>
        </is>
      </c>
      <c r="C5" s="129" t="inlineStr">
        <is>
          <t>Summary</t>
        </is>
      </c>
      <c r="D5" s="129" t="inlineStr">
        <is>
          <t>Jira Status</t>
        </is>
      </c>
      <c r="E5" s="129" t="inlineStr">
        <is>
          <t>Assignee</t>
        </is>
      </c>
      <c r="F5" s="129" t="inlineStr">
        <is>
          <t>Proposed Verdict</t>
        </is>
      </c>
      <c r="G5" s="129" t="inlineStr">
        <is>
          <t>Rationale / Analysis</t>
        </is>
      </c>
      <c r="H5" s="129" t="inlineStr">
        <is>
          <t>Action</t>
        </is>
      </c>
    </row>
    <row r="6" ht="55" customHeight="1" s="44">
      <c r="A6" s="130" t="inlineStr">
        <is>
          <t>MFT-1670</t>
        </is>
      </c>
      <c r="B6" s="130" t="inlineStr">
        <is>
          <t>Phase 1</t>
        </is>
      </c>
      <c r="C6" s="130" t="inlineStr">
        <is>
          <t>Capital fully using billing as SoT</t>
        </is>
      </c>
      <c r="D6" s="130" t="inlineStr">
        <is>
          <t>To DO</t>
        </is>
      </c>
      <c r="E6" s="130" t="inlineStr">
        <is>
          <t>Unassigned</t>
        </is>
      </c>
      <c r="F6" s="131" t="inlineStr">
        <is>
          <t>🟠 NEEDS CLARITY</t>
        </is>
      </c>
      <c r="G6" s="130" t="inlineStr">
        <is>
          <t>High-level intent only. No migration steps, validation plan, or rollback strategy.</t>
        </is>
      </c>
      <c r="H6" s="130" t="inlineStr">
        <is>
          <t>Added to Excel. Expand description with migration phases + rollback plan.</t>
        </is>
      </c>
    </row>
    <row r="7" ht="55" customHeight="1" s="44">
      <c r="A7" s="130" t="inlineStr">
        <is>
          <t>MFT-1672</t>
        </is>
      </c>
      <c r="B7" s="130" t="inlineStr">
        <is>
          <t>Phase 3</t>
        </is>
      </c>
      <c r="C7" s="130" t="inlineStr">
        <is>
          <t>FRF task recreation (cancelled)</t>
        </is>
      </c>
      <c r="D7" s="130" t="inlineStr">
        <is>
          <t>Cancelled</t>
        </is>
      </c>
      <c r="E7" s="130" t="inlineStr">
        <is>
          <t>Unassigned</t>
        </is>
      </c>
      <c r="F7" s="131" t="inlineStr">
        <is>
          <t>✅ DONE</t>
        </is>
      </c>
      <c r="G7" s="130" t="inlineStr">
        <is>
          <t>Cancelled task. FRF task recreation handled within the release.</t>
        </is>
      </c>
      <c r="H7" s="130" t="inlineStr">
        <is>
          <t>Added to Excel as DONE.</t>
        </is>
      </c>
    </row>
    <row r="8" ht="55" customHeight="1" s="44">
      <c r="A8" s="130" t="inlineStr">
        <is>
          <t>MFT-1684</t>
        </is>
      </c>
      <c r="B8" s="130" t="inlineStr">
        <is>
          <t>Phase 2</t>
        </is>
      </c>
      <c r="C8" s="130" t="inlineStr">
        <is>
          <t>Reconciliation guardrails / checker job</t>
        </is>
      </c>
      <c r="D8" s="130" t="inlineStr">
        <is>
          <t>Done</t>
        </is>
      </c>
      <c r="E8" s="130" t="inlineStr">
        <is>
          <t>Stanislav Kaychenkov</t>
        </is>
      </c>
      <c r="F8" s="131" t="inlineStr">
        <is>
          <t>✅ DONE</t>
        </is>
      </c>
      <c r="G8" s="130" t="inlineStr">
        <is>
          <t>Completed. Reconciliation checker + guardrails job fully implemented.</t>
        </is>
      </c>
      <c r="H8" s="130" t="inlineStr">
        <is>
          <t>Added to Excel as DONE.</t>
        </is>
      </c>
    </row>
    <row r="9" ht="55" customHeight="1" s="44">
      <c r="A9" s="130" t="inlineStr">
        <is>
          <t>MFT-1692</t>
        </is>
      </c>
      <c r="B9" s="130" t="inlineStr">
        <is>
          <t>Various</t>
        </is>
      </c>
      <c r="C9" s="130" t="inlineStr">
        <is>
          <t>Capital tech debt umbrella (no description)</t>
        </is>
      </c>
      <c r="D9" s="130" t="inlineStr">
        <is>
          <t>To DO</t>
        </is>
      </c>
      <c r="E9" s="130" t="inlineStr">
        <is>
          <t>Unassigned</t>
        </is>
      </c>
      <c r="F9" s="131" t="inlineStr">
        <is>
          <t>🟠 NEEDS CLARITY</t>
        </is>
      </c>
      <c r="G9" s="130" t="inlineStr">
        <is>
          <t>No description at all. Umbrella task that cannot be actioned in this state.</t>
        </is>
      </c>
      <c r="H9" s="130" t="inlineStr">
        <is>
          <t>Added to Excel. Must be broken into specific sub-tasks with owners.</t>
        </is>
      </c>
    </row>
    <row r="10" ht="55" customHeight="1" s="44">
      <c r="A10" s="130" t="inlineStr">
        <is>
          <t>MFT-1734</t>
        </is>
      </c>
      <c r="B10" s="130" t="inlineStr">
        <is>
          <t>Phase 1</t>
        </is>
      </c>
      <c r="C10" s="130" t="inlineStr">
        <is>
          <t>Capital QA planning</t>
        </is>
      </c>
      <c r="D10" s="130" t="inlineStr">
        <is>
          <t>To DO</t>
        </is>
      </c>
      <c r="E10" s="130" t="inlineStr">
        <is>
          <t>Lusine Karapetyan</t>
        </is>
      </c>
      <c r="F10" s="131" t="inlineStr">
        <is>
          <t>🟠 NEEDS CLARITY</t>
        </is>
      </c>
      <c r="G10" s="130" t="inlineStr">
        <is>
          <t>Good description but no confirmed QA lead, release timeline, or sign-off criteria.</t>
        </is>
      </c>
      <c r="H10" s="130" t="inlineStr">
        <is>
          <t>Added to Excel. Assign QA lead and define release timeline.</t>
        </is>
      </c>
    </row>
    <row r="11" ht="55" customHeight="1" s="44">
      <c r="A11" s="130" t="inlineStr">
        <is>
          <t>MFT-1746</t>
        </is>
      </c>
      <c r="B11" s="130" t="inlineStr">
        <is>
          <t>Phase 1</t>
        </is>
      </c>
      <c r="C11" s="130" t="inlineStr">
        <is>
          <t>Capital observability scope</t>
        </is>
      </c>
      <c r="D11" s="130" t="inlineStr">
        <is>
          <t>To DO</t>
        </is>
      </c>
      <c r="E11" s="130" t="inlineStr">
        <is>
          <t>Unassigned</t>
        </is>
      </c>
      <c r="F11" s="131" t="inlineStr">
        <is>
          <t>🟠 NEEDS CLARITY</t>
        </is>
      </c>
      <c r="G11" s="130" t="inlineStr">
        <is>
          <t>Broad observability scope without specific metrics, dashboards, or alert targets defined.</t>
        </is>
      </c>
      <c r="H11" s="130" t="inlineStr">
        <is>
          <t>Added to Excel. Define specific Datadog dashboards, metrics, and SLOs.</t>
        </is>
      </c>
    </row>
    <row r="12" ht="55" customHeight="1" s="44">
      <c r="A12" s="130" t="inlineStr">
        <is>
          <t>MFT-1747</t>
        </is>
      </c>
      <c r="B12" s="130" t="inlineStr">
        <is>
          <t>Phase 2</t>
        </is>
      </c>
      <c r="C12" s="130" t="inlineStr">
        <is>
          <t>Billing discrepancies investigation</t>
        </is>
      </c>
      <c r="D12" s="130" t="inlineStr">
        <is>
          <t>To DO</t>
        </is>
      </c>
      <c r="E12" s="130" t="inlineStr">
        <is>
          <t>Unassigned</t>
        </is>
      </c>
      <c r="F12" s="131" t="inlineStr">
        <is>
          <t>🟠 NEEDS CLARITY</t>
        </is>
      </c>
      <c r="G12" s="130" t="inlineStr">
        <is>
          <t>No specific discrepancy types listed. No acceptance criteria. Vague scope.</t>
        </is>
      </c>
      <c r="H12" s="130" t="inlineStr">
        <is>
          <t>Added to Excel. List discrepancy types + add ACs per type.</t>
        </is>
      </c>
    </row>
    <row r="13" ht="55" customHeight="1" s="44">
      <c r="A13" s="130" t="inlineStr">
        <is>
          <t>MFT-1785</t>
        </is>
      </c>
      <c r="B13" s="130" t="inlineStr">
        <is>
          <t>Phase 2</t>
        </is>
      </c>
      <c r="C13" s="130" t="inlineStr">
        <is>
          <t>Update Capital→Billing reconciliation</t>
        </is>
      </c>
      <c r="D13" s="130" t="inlineStr">
        <is>
          <t>To DO</t>
        </is>
      </c>
      <c r="E13" s="130" t="inlineStr">
        <is>
          <t>Stanislav Kaychenkov</t>
        </is>
      </c>
      <c r="F13" s="131" t="inlineStr">
        <is>
          <t>🟢 READY</t>
        </is>
      </c>
      <c r="G13" s="130" t="inlineStr">
        <is>
          <t>Clear scope. Assigned to Stanislav. Ready to execute.</t>
        </is>
      </c>
      <c r="H13" s="130" t="inlineStr">
        <is>
          <t>Added to Excel as READY.</t>
        </is>
      </c>
    </row>
    <row r="14" ht="55" customHeight="1" s="44">
      <c r="A14" s="130" t="inlineStr">
        <is>
          <t>MFT-1786</t>
        </is>
      </c>
      <c r="B14" s="130" t="inlineStr">
        <is>
          <t>Phase 2</t>
        </is>
      </c>
      <c r="C14" s="130" t="inlineStr">
        <is>
          <t>Update Capital→Reem reconciliation</t>
        </is>
      </c>
      <c r="D14" s="130" t="inlineStr">
        <is>
          <t>To DO</t>
        </is>
      </c>
      <c r="E14" s="130" t="inlineStr">
        <is>
          <t>Stanislav Kaychenkov</t>
        </is>
      </c>
      <c r="F14" s="131" t="inlineStr">
        <is>
          <t>🟢 READY</t>
        </is>
      </c>
      <c r="G14" s="130" t="inlineStr">
        <is>
          <t>Clear scope. Assigned. Ready. Confirm Reem API fields before running.</t>
        </is>
      </c>
      <c r="H14" s="130" t="inlineStr">
        <is>
          <t>Added to Excel as READY.</t>
        </is>
      </c>
    </row>
    <row r="15" ht="55" customHeight="1" s="44">
      <c r="A15" s="130" t="inlineStr">
        <is>
          <t>MFT-1787</t>
        </is>
      </c>
      <c r="B15" s="130" t="inlineStr">
        <is>
          <t>Phase 2</t>
        </is>
      </c>
      <c r="C15" s="130" t="inlineStr">
        <is>
          <t>Update Capital→DD reconciliation</t>
        </is>
      </c>
      <c r="D15" s="130" t="inlineStr">
        <is>
          <t>To DO</t>
        </is>
      </c>
      <c r="E15" s="130" t="inlineStr">
        <is>
          <t>Stanislav Kaychenkov</t>
        </is>
      </c>
      <c r="F15" s="131" t="inlineStr">
        <is>
          <t>🟢 READY</t>
        </is>
      </c>
      <c r="G15" s="130" t="inlineStr">
        <is>
          <t>Clear scope. Assigned. Ready. Clarify which DD providers to reconcile.</t>
        </is>
      </c>
      <c r="H15" s="130" t="inlineStr">
        <is>
          <t>Added to Excel as READY.</t>
        </is>
      </c>
    </row>
    <row r="16" ht="55" customHeight="1" s="44">
      <c r="A16" s="130" t="inlineStr">
        <is>
          <t>MFT-1788</t>
        </is>
      </c>
      <c r="B16" s="130" t="inlineStr">
        <is>
          <t>Phase 2</t>
        </is>
      </c>
      <c r="C16" s="130" t="inlineStr">
        <is>
          <t>Update Capital→Bank reconciliation</t>
        </is>
      </c>
      <c r="D16" s="130" t="inlineStr">
        <is>
          <t>To DO</t>
        </is>
      </c>
      <c r="E16" s="130" t="inlineStr">
        <is>
          <t>Stanislav Kaychenkov</t>
        </is>
      </c>
      <c r="F16" s="131" t="inlineStr">
        <is>
          <t>🟢 READY</t>
        </is>
      </c>
      <c r="G16" s="130" t="inlineStr">
        <is>
          <t>Clear scope. Assigned. Ready. Clarify target bank/provider format.</t>
        </is>
      </c>
      <c r="H16" s="130" t="inlineStr">
        <is>
          <t>Added to Excel as READY.</t>
        </is>
      </c>
    </row>
    <row r="17" ht="55" customHeight="1" s="44">
      <c r="A17" s="130" t="inlineStr">
        <is>
          <t>MFT-1806</t>
        </is>
      </c>
      <c r="B17" s="130" t="inlineStr">
        <is>
          <t>Various</t>
        </is>
      </c>
      <c r="C17" s="130" t="inlineStr">
        <is>
          <t>Capital as repayments engine (strategic)</t>
        </is>
      </c>
      <c r="D17" s="130" t="inlineStr">
        <is>
          <t>To DO</t>
        </is>
      </c>
      <c r="E17" s="130" t="inlineStr">
        <is>
          <t>Unassigned</t>
        </is>
      </c>
      <c r="F17" s="131" t="inlineStr">
        <is>
          <t>🟠 NEEDS CLARITY</t>
        </is>
      </c>
      <c r="G17" s="130" t="inlineStr">
        <is>
          <t>Strategic task. Minimal description. No owner. Scope entirely undefined.</t>
        </is>
      </c>
      <c r="H17" s="130" t="inlineStr">
        <is>
          <t>Added to Excel. Requires technical design doc + product + tech lead assignment.</t>
        </is>
      </c>
    </row>
    <row r="19" ht="35" customHeight="1" s="44">
      <c r="A19" s="132" t="inlineStr">
        <is>
          <t>⚠️  SECTION 2 — In Excel but NOT in Jira  (8 tasks — require manual verification)</t>
        </is>
      </c>
    </row>
    <row r="20" ht="28" customHeight="1" s="44">
      <c r="A20" s="129" t="inlineStr">
        <is>
          <t>Jira Key</t>
        </is>
      </c>
      <c r="B20" s="129" t="inlineStr">
        <is>
          <t>Epic Group</t>
        </is>
      </c>
      <c r="C20" s="129" t="inlineStr">
        <is>
          <t>Current Verdict</t>
        </is>
      </c>
      <c r="D20" s="129" t="inlineStr">
        <is>
          <t>Risk Level</t>
        </is>
      </c>
      <c r="E20" s="129" t="inlineStr">
        <is>
          <t>Possible Explanation</t>
        </is>
      </c>
      <c r="F20" s="129" t="inlineStr">
        <is>
          <t>Recommended Action</t>
        </is>
      </c>
      <c r="G20" s="129" t="inlineStr"/>
      <c r="H20" s="129" t="inlineStr"/>
    </row>
    <row r="21" ht="55" customHeight="1" s="44">
      <c r="A21" s="133" t="inlineStr">
        <is>
          <t>MFT-1695</t>
        </is>
      </c>
      <c r="B21" s="133" t="inlineStr">
        <is>
          <t>Direct Debit</t>
        </is>
      </c>
      <c r="C21" s="134" t="inlineStr">
        <is>
          <t>🟢 READY</t>
        </is>
      </c>
      <c r="D21" s="133" t="inlineStr">
        <is>
          <t>🟡 Medium</t>
        </is>
      </c>
      <c r="E21" s="133" t="inlineStr">
        <is>
          <t>May have been deleted, merged, or moved to another project in Jira.</t>
        </is>
      </c>
      <c r="F21" s="133" t="inlineStr">
        <is>
          <t>Manually verify in Jira. Mark as Archived or remove from Excel if confirmed gone.</t>
        </is>
      </c>
      <c r="G21" s="133" t="inlineStr"/>
      <c r="H21" s="133" t="inlineStr"/>
    </row>
    <row r="22" ht="55" customHeight="1" s="44">
      <c r="A22" s="133" t="inlineStr">
        <is>
          <t>MFT-1699</t>
        </is>
      </c>
      <c r="B22" s="133" t="inlineStr">
        <is>
          <t>Direct Debit</t>
        </is>
      </c>
      <c r="C22" s="134" t="inlineStr">
        <is>
          <t>🟢 READY</t>
        </is>
      </c>
      <c r="D22" s="133" t="inlineStr">
        <is>
          <t>🟡 Medium</t>
        </is>
      </c>
      <c r="E22" s="133" t="inlineStr">
        <is>
          <t>May have been deleted, merged, or moved to another project in Jira.</t>
        </is>
      </c>
      <c r="F22" s="133" t="inlineStr">
        <is>
          <t>Manually verify in Jira. Mark as Archived or remove from Excel if confirmed gone.</t>
        </is>
      </c>
      <c r="G22" s="133" t="inlineStr"/>
      <c r="H22" s="133" t="inlineStr"/>
    </row>
    <row r="23" ht="55" customHeight="1" s="44">
      <c r="A23" s="133" t="inlineStr">
        <is>
          <t>MFT-1700</t>
        </is>
      </c>
      <c r="B23" s="133" t="inlineStr">
        <is>
          <t>Direct Debit</t>
        </is>
      </c>
      <c r="C23" s="134" t="inlineStr">
        <is>
          <t>🟢 READY</t>
        </is>
      </c>
      <c r="D23" s="133" t="inlineStr">
        <is>
          <t>🟡 Medium</t>
        </is>
      </c>
      <c r="E23" s="133" t="inlineStr">
        <is>
          <t>May have been deleted, merged, or moved to another project in Jira.</t>
        </is>
      </c>
      <c r="F23" s="133" t="inlineStr">
        <is>
          <t>Manually verify in Jira. Mark as Archived or remove from Excel if confirmed gone.</t>
        </is>
      </c>
      <c r="G23" s="133" t="inlineStr"/>
      <c r="H23" s="133" t="inlineStr"/>
    </row>
    <row r="24" ht="55" customHeight="1" s="44">
      <c r="A24" s="133" t="inlineStr">
        <is>
          <t>MFT-1704</t>
        </is>
      </c>
      <c r="B24" s="133" t="inlineStr">
        <is>
          <t>Offer Management</t>
        </is>
      </c>
      <c r="C24" s="134" t="inlineStr">
        <is>
          <t>🟢 READY</t>
        </is>
      </c>
      <c r="D24" s="133" t="inlineStr">
        <is>
          <t>🟡 Medium</t>
        </is>
      </c>
      <c r="E24" s="133" t="inlineStr">
        <is>
          <t>May have been deleted, merged, or moved to another project in Jira.</t>
        </is>
      </c>
      <c r="F24" s="133" t="inlineStr">
        <is>
          <t>Manually verify in Jira. Mark as Archived or remove from Excel if confirmed gone.</t>
        </is>
      </c>
      <c r="G24" s="133" t="inlineStr"/>
      <c r="H24" s="133" t="inlineStr"/>
    </row>
    <row r="25" ht="55" customHeight="1" s="44">
      <c r="A25" s="133" t="inlineStr">
        <is>
          <t>MFT-1705</t>
        </is>
      </c>
      <c r="B25" s="133" t="inlineStr">
        <is>
          <t>Offer Management</t>
        </is>
      </c>
      <c r="C25" s="134" t="inlineStr">
        <is>
          <t>🟢 READY</t>
        </is>
      </c>
      <c r="D25" s="133" t="inlineStr">
        <is>
          <t>🟡 Medium</t>
        </is>
      </c>
      <c r="E25" s="133" t="inlineStr">
        <is>
          <t>May have been deleted, merged, or moved to another project in Jira.</t>
        </is>
      </c>
      <c r="F25" s="133" t="inlineStr">
        <is>
          <t>Manually verify in Jira. Mark as Archived or remove from Excel if confirmed gone.</t>
        </is>
      </c>
      <c r="G25" s="133" t="inlineStr"/>
      <c r="H25" s="133" t="inlineStr"/>
    </row>
    <row r="26" ht="55" customHeight="1" s="44">
      <c r="A26" s="133" t="inlineStr">
        <is>
          <t>MFT-1755</t>
        </is>
      </c>
      <c r="B26" s="133" t="inlineStr">
        <is>
          <t>Monitoring &amp; Alerting</t>
        </is>
      </c>
      <c r="C26" s="134" t="inlineStr">
        <is>
          <t>🟠 NEEDS CLARITY</t>
        </is>
      </c>
      <c r="D26" s="135" t="inlineStr">
        <is>
          <t>🔴 High</t>
        </is>
      </c>
      <c r="E26" s="133" t="inlineStr">
        <is>
          <t>Task may exist under a different key or in a different Jira project. Work could be untracked.</t>
        </is>
      </c>
      <c r="F26" s="133" t="inlineStr">
        <is>
          <t>HIGH PRIORITY: Verify immediately. Risk of missing critical monitoring work.</t>
        </is>
      </c>
      <c r="G26" s="133" t="inlineStr"/>
      <c r="H26" s="133" t="inlineStr"/>
    </row>
    <row r="27" ht="55" customHeight="1" s="44">
      <c r="A27" s="133" t="inlineStr">
        <is>
          <t>MFT-1830</t>
        </is>
      </c>
      <c r="B27" s="133" t="inlineStr">
        <is>
          <t>Cleanup &amp; Migration Phase 3</t>
        </is>
      </c>
      <c r="C27" s="134" t="inlineStr">
        <is>
          <t>🟢 READY</t>
        </is>
      </c>
      <c r="D27" s="133" t="inlineStr">
        <is>
          <t>🟡 Medium</t>
        </is>
      </c>
      <c r="E27" s="133" t="inlineStr">
        <is>
          <t>May have been added to Excel before a Jira ticket was created.</t>
        </is>
      </c>
      <c r="F27" s="133" t="inlineStr">
        <is>
          <t>Create corresponding Jira ticket, or remove from Excel and archive.</t>
        </is>
      </c>
      <c r="G27" s="133" t="inlineStr"/>
      <c r="H27" s="133" t="inlineStr"/>
    </row>
    <row r="28" ht="55" customHeight="1" s="44">
      <c r="A28" s="133" t="inlineStr">
        <is>
          <t>MFT-1831</t>
        </is>
      </c>
      <c r="B28" s="133" t="inlineStr">
        <is>
          <t>Cleanup &amp; Migration Phase 3</t>
        </is>
      </c>
      <c r="C28" s="134" t="inlineStr">
        <is>
          <t>🟢 READY</t>
        </is>
      </c>
      <c r="D28" s="133" t="inlineStr">
        <is>
          <t>🟡 Medium</t>
        </is>
      </c>
      <c r="E28" s="133" t="inlineStr">
        <is>
          <t>May have been added to Excel before a Jira ticket was created.</t>
        </is>
      </c>
      <c r="F28" s="133" t="inlineStr">
        <is>
          <t>Create corresponding Jira ticket, or remove from Excel and archive.</t>
        </is>
      </c>
      <c r="G28" s="133" t="inlineStr"/>
      <c r="H28" s="133" t="inlineStr"/>
    </row>
    <row r="30" ht="35" customHeight="1" s="44">
      <c r="A30" s="136" t="inlineStr">
        <is>
          <t>🔄  SECTION 3 — Status / Assignee Drift  (8 tasks updated in Epic Breakdown)</t>
        </is>
      </c>
    </row>
    <row r="31" ht="28" customHeight="1" s="44">
      <c r="A31" s="129" t="inlineStr">
        <is>
          <t>Jira Key</t>
        </is>
      </c>
      <c r="B31" s="129" t="inlineStr">
        <is>
          <t>Summary</t>
        </is>
      </c>
      <c r="C31" s="129" t="inlineStr">
        <is>
          <t>Old Status</t>
        </is>
      </c>
      <c r="D31" s="129" t="inlineStr">
        <is>
          <t>New Status (Jira)</t>
        </is>
      </c>
      <c r="E31" s="129" t="inlineStr">
        <is>
          <t>Old Assignee</t>
        </is>
      </c>
      <c r="F31" s="129" t="inlineStr">
        <is>
          <t>New Assignee</t>
        </is>
      </c>
      <c r="G31" s="129" t="inlineStr">
        <is>
          <t>Impact</t>
        </is>
      </c>
      <c r="H31" s="129" t="inlineStr">
        <is>
          <t>Action Taken</t>
        </is>
      </c>
    </row>
    <row r="32" ht="60" customHeight="1" s="44">
      <c r="A32" s="137" t="inlineStr">
        <is>
          <t>MFT-1756</t>
        </is>
      </c>
      <c r="B32" s="137" t="inlineStr">
        <is>
          <t>Capital→Billing sync task (1/4)</t>
        </is>
      </c>
      <c r="C32" s="137" t="inlineStr">
        <is>
          <t>(empty)</t>
        </is>
      </c>
      <c r="D32" s="137" t="inlineStr">
        <is>
          <t>Backlog</t>
        </is>
      </c>
      <c r="E32" s="137" t="inlineStr">
        <is>
          <t>(empty)</t>
        </is>
      </c>
      <c r="F32" s="137" t="inlineStr">
        <is>
          <t>Stanislav Kaychenkov</t>
        </is>
      </c>
      <c r="G32" s="137" t="inlineStr">
        <is>
          <t>Low — expected pre-start state</t>
        </is>
      </c>
      <c r="H32" s="138" t="inlineStr">
        <is>
          <t>✓ Status + assignee updated in Epic Breakdown</t>
        </is>
      </c>
    </row>
    <row r="33" ht="60" customHeight="1" s="44">
      <c r="A33" s="137" t="inlineStr">
        <is>
          <t>MFT-1757</t>
        </is>
      </c>
      <c r="B33" s="137" t="inlineStr">
        <is>
          <t>Capital→Billing sync task (2/4)</t>
        </is>
      </c>
      <c r="C33" s="137" t="inlineStr">
        <is>
          <t>(empty)</t>
        </is>
      </c>
      <c r="D33" s="137" t="inlineStr">
        <is>
          <t>Backlog</t>
        </is>
      </c>
      <c r="E33" s="137" t="inlineStr">
        <is>
          <t>(empty)</t>
        </is>
      </c>
      <c r="F33" s="137" t="inlineStr">
        <is>
          <t>Stanislav Kaychenkov</t>
        </is>
      </c>
      <c r="G33" s="137" t="inlineStr">
        <is>
          <t>Low — expected pre-start state</t>
        </is>
      </c>
      <c r="H33" s="138" t="inlineStr">
        <is>
          <t>✓ Status + assignee updated in Epic Breakdown</t>
        </is>
      </c>
    </row>
    <row r="34" ht="60" customHeight="1" s="44">
      <c r="A34" s="137" t="inlineStr">
        <is>
          <t>MFT-1758</t>
        </is>
      </c>
      <c r="B34" s="137" t="inlineStr">
        <is>
          <t>Capital→Billing sync task (3/4)</t>
        </is>
      </c>
      <c r="C34" s="137" t="inlineStr">
        <is>
          <t>(empty)</t>
        </is>
      </c>
      <c r="D34" s="137" t="inlineStr">
        <is>
          <t>Backlog</t>
        </is>
      </c>
      <c r="E34" s="137" t="inlineStr">
        <is>
          <t>(empty)</t>
        </is>
      </c>
      <c r="F34" s="137" t="inlineStr">
        <is>
          <t>Stanislav Kaychenkov</t>
        </is>
      </c>
      <c r="G34" s="137" t="inlineStr">
        <is>
          <t>Low — expected pre-start state</t>
        </is>
      </c>
      <c r="H34" s="138" t="inlineStr">
        <is>
          <t>✓ Status + assignee updated in Epic Breakdown</t>
        </is>
      </c>
    </row>
    <row r="35" ht="60" customHeight="1" s="44">
      <c r="A35" s="137" t="inlineStr">
        <is>
          <t>MFT-1759</t>
        </is>
      </c>
      <c r="B35" s="137" t="inlineStr">
        <is>
          <t>Capital→Billing sync task (4/4)</t>
        </is>
      </c>
      <c r="C35" s="137" t="inlineStr">
        <is>
          <t>(empty)</t>
        </is>
      </c>
      <c r="D35" s="137" t="inlineStr">
        <is>
          <t>Backlog</t>
        </is>
      </c>
      <c r="E35" s="137" t="inlineStr">
        <is>
          <t>(empty)</t>
        </is>
      </c>
      <c r="F35" s="137" t="inlineStr">
        <is>
          <t>Stanislav Kaychenkov</t>
        </is>
      </c>
      <c r="G35" s="137" t="inlineStr">
        <is>
          <t>Low — expected pre-start state</t>
        </is>
      </c>
      <c r="H35" s="138" t="inlineStr">
        <is>
          <t>✓ Status + assignee updated in Epic Breakdown</t>
        </is>
      </c>
    </row>
    <row r="36" ht="60" customHeight="1" s="44">
      <c r="A36" s="137" t="inlineStr">
        <is>
          <t>MFT-1818</t>
        </is>
      </c>
      <c r="B36" s="137" t="inlineStr">
        <is>
          <t>Capital decommission milestone step</t>
        </is>
      </c>
      <c r="C36" s="137" t="inlineStr">
        <is>
          <t>(empty)</t>
        </is>
      </c>
      <c r="D36" s="137" t="inlineStr">
        <is>
          <t>Cancelled</t>
        </is>
      </c>
      <c r="E36" s="137" t="inlineStr">
        <is>
          <t>(empty)</t>
        </is>
      </c>
      <c r="F36" s="137" t="inlineStr">
        <is>
          <t>(unassigned)</t>
        </is>
      </c>
      <c r="G36" s="139" t="inlineStr">
        <is>
          <t>HIGH — was BLOCKED in Excel; now Cancelled in Jira → treated as DONE</t>
        </is>
      </c>
      <c r="H36" s="138" t="inlineStr">
        <is>
          <t>✓ Status updated; Verdict overridden to ✅ DONE</t>
        </is>
      </c>
    </row>
    <row r="37" ht="60" customHeight="1" s="44">
      <c r="A37" s="137" t="inlineStr">
        <is>
          <t>MFT-1819</t>
        </is>
      </c>
      <c r="B37" s="137" t="inlineStr">
        <is>
          <t>Capital cleanup / archival item</t>
        </is>
      </c>
      <c r="C37" s="137" t="inlineStr">
        <is>
          <t>(empty)</t>
        </is>
      </c>
      <c r="D37" s="137" t="inlineStr">
        <is>
          <t>Backlog</t>
        </is>
      </c>
      <c r="E37" s="137" t="inlineStr">
        <is>
          <t>(empty)</t>
        </is>
      </c>
      <c r="F37" s="137" t="inlineStr">
        <is>
          <t>(unassigned)</t>
        </is>
      </c>
      <c r="G37" s="137" t="inlineStr">
        <is>
          <t>Low — moved to Backlog; no owner yet</t>
        </is>
      </c>
      <c r="H37" s="138" t="inlineStr">
        <is>
          <t>✓ Status updated in Epic Breakdown</t>
        </is>
      </c>
    </row>
    <row r="38" ht="60" customHeight="1" s="44">
      <c r="A38" s="137" t="inlineStr">
        <is>
          <t>MFT-1876</t>
        </is>
      </c>
      <c r="B38" s="137" t="inlineStr">
        <is>
          <t>Check precision of amount for manual repayments</t>
        </is>
      </c>
      <c r="C38" s="137" t="inlineStr">
        <is>
          <t>Developing</t>
        </is>
      </c>
      <c r="D38" s="137" t="inlineStr">
        <is>
          <t>Review</t>
        </is>
      </c>
      <c r="E38" s="137" t="inlineStr">
        <is>
          <t>Evgenii Tumanovskii</t>
        </is>
      </c>
      <c r="F38" s="137" t="inlineStr">
        <is>
          <t>Evgenii Tumanovskii</t>
        </is>
      </c>
      <c r="G38" s="137" t="inlineStr">
        <is>
          <t>Medium — progressed; nearing completion</t>
        </is>
      </c>
      <c r="H38" s="138" t="inlineStr">
        <is>
          <t>✓ Status updated to Review in Epic Breakdown</t>
        </is>
      </c>
    </row>
    <row r="39" ht="60" customHeight="1" s="44">
      <c r="A39" s="137" t="inlineStr">
        <is>
          <t>MFT-1877</t>
        </is>
      </c>
      <c r="B39" s="137" t="inlineStr">
        <is>
          <t>Check amount precision in repayments importer</t>
        </is>
      </c>
      <c r="C39" s="137" t="inlineStr">
        <is>
          <t>(empty)</t>
        </is>
      </c>
      <c r="D39" s="137" t="inlineStr">
        <is>
          <t>To DO</t>
        </is>
      </c>
      <c r="E39" s="137" t="inlineStr">
        <is>
          <t>(empty)</t>
        </is>
      </c>
      <c r="F39" s="137" t="inlineStr">
        <is>
          <t>(unassigned)</t>
        </is>
      </c>
      <c r="G39" s="137" t="inlineStr">
        <is>
          <t>Low — unassigned, needs owner</t>
        </is>
      </c>
      <c r="H39" s="138" t="inlineStr">
        <is>
          <t>✓ Assignee set to Unassigned in Epic Breakdown</t>
        </is>
      </c>
    </row>
    <row r="41" ht="35" customHeight="1" s="44">
      <c r="A41" s="140" t="inlineStr">
        <is>
          <t>⚡  SECTION 4 — Verdict vs Jira Status Conflicts  (3 tasks — human review required)</t>
        </is>
      </c>
    </row>
    <row r="42" ht="28" customHeight="1" s="44">
      <c r="A42" s="129" t="inlineStr">
        <is>
          <t>Jira Key</t>
        </is>
      </c>
      <c r="B42" s="129" t="inlineStr">
        <is>
          <t>Summary</t>
        </is>
      </c>
      <c r="C42" s="129" t="inlineStr">
        <is>
          <t>Jira Status</t>
        </is>
      </c>
      <c r="D42" s="129" t="inlineStr">
        <is>
          <t>Excel Verdict</t>
        </is>
      </c>
      <c r="E42" s="129" t="inlineStr">
        <is>
          <t>Conflict Description</t>
        </is>
      </c>
      <c r="F42" s="129" t="inlineStr">
        <is>
          <t>Risk</t>
        </is>
      </c>
      <c r="G42" s="129" t="inlineStr">
        <is>
          <t>Recommended Resolution</t>
        </is>
      </c>
      <c r="H42" s="129" t="inlineStr">
        <is>
          <t>Owner</t>
        </is>
      </c>
    </row>
    <row r="43" ht="80" customHeight="1" s="44">
      <c r="A43" s="141" t="inlineStr">
        <is>
          <t>MFT-1779</t>
        </is>
      </c>
      <c r="B43" s="141" t="inlineStr">
        <is>
          <t>Capital loan state machine validation</t>
        </is>
      </c>
      <c r="C43" s="141" t="inlineStr">
        <is>
          <t>Ready for release</t>
        </is>
      </c>
      <c r="D43" s="142" t="inlineStr">
        <is>
          <t>🟠 NEEDS CLARITY</t>
        </is>
      </c>
      <c r="E43" s="141" t="inlineStr">
        <is>
          <t>Jira says "Ready for release" but verdict is NEEDS CLARITY. Either the task is complete and the verdict is stale, or a quality gate is blocking release.</t>
        </is>
      </c>
      <c r="F43" s="143" t="inlineStr">
        <is>
          <t>🔴 HIGH</t>
        </is>
      </c>
      <c r="G43" s="141" t="inlineStr">
        <is>
          <t>PM + Tech Lead to review. If quality gates passed → update verdict to 🟢 READY or ✅ DONE.</t>
        </is>
      </c>
      <c r="H43" s="142" t="inlineStr">
        <is>
          <t>PM + Tech Lead</t>
        </is>
      </c>
    </row>
    <row r="44" ht="80" customHeight="1" s="44">
      <c r="A44" s="141" t="inlineStr">
        <is>
          <t>MFT-1718</t>
        </is>
      </c>
      <c r="B44" s="141" t="inlineStr">
        <is>
          <t>Capital DD trigger classification</t>
        </is>
      </c>
      <c r="C44" s="141" t="inlineStr">
        <is>
          <t>To DO</t>
        </is>
      </c>
      <c r="D44" s="142" t="inlineStr">
        <is>
          <t>🟡 IN PROGRESS</t>
        </is>
      </c>
      <c r="E44" s="141" t="inlineStr">
        <is>
          <t>Jira status is "To DO" but verdict is IN PROGRESS. Work may have started without the Jira ticket being transitioned.</t>
        </is>
      </c>
      <c r="F44" s="141" t="inlineStr">
        <is>
          <t>🟡 MEDIUM</t>
        </is>
      </c>
      <c r="G44" s="141" t="inlineStr">
        <is>
          <t>Assignee to update Jira to "Developing" if work is active. Otherwise revert verdict to 🟠 NEEDS CLARITY.</t>
        </is>
      </c>
      <c r="H44" s="142" t="inlineStr">
        <is>
          <t>Assignee</t>
        </is>
      </c>
    </row>
    <row r="45" ht="80" customHeight="1" s="44">
      <c r="A45" s="141" t="inlineStr">
        <is>
          <t>MFT-1816</t>
        </is>
      </c>
      <c r="B45" s="141" t="inlineStr">
        <is>
          <t>Capital off-ramp / exit path item</t>
        </is>
      </c>
      <c r="C45" s="141" t="inlineStr">
        <is>
          <t>Developing</t>
        </is>
      </c>
      <c r="D45" s="142" t="inlineStr">
        <is>
          <t>🔴 BLOCKED</t>
        </is>
      </c>
      <c r="E45" s="141" t="inlineStr">
        <is>
          <t>Jira status is "Developing" (active work) but verdict is BLOCKED. Either the blocker was resolved (and Jira updated but Excel wasn't), or the task is progressing despite a blocker.</t>
        </is>
      </c>
      <c r="F45" s="141" t="inlineStr">
        <is>
          <t>🟡 MEDIUM</t>
        </is>
      </c>
      <c r="G45" s="141" t="inlineStr">
        <is>
          <t>Assignee + PM to clarify if there is an active blocker. If resolved → update verdict to 🟢 READY or 🟡 IN PROGRESS.</t>
        </is>
      </c>
      <c r="H45" s="142" t="inlineStr">
        <is>
          <t>Assignee + PM</t>
        </is>
      </c>
    </row>
  </sheetData>
  <mergeCells count="6">
    <mergeCell ref="A4:H4"/>
    <mergeCell ref="A30:H30"/>
    <mergeCell ref="A2:H2"/>
    <mergeCell ref="A41:H41"/>
    <mergeCell ref="A19:H19"/>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2026-02-27T19:35:49Z</dcterms:created>
  <dcterms:modified xsi:type="dcterms:W3CDTF">2026-03-01T12:21:55Z</dcterms:modified>
  <cp:lastModifiedBy>mohamed zaki</cp:lastModifiedBy>
</cp:coreProperties>
</file>